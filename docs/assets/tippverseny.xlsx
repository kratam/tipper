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p" sheetId="1" r:id="rId4"/>
    <sheet state="visible" name="állás" sheetId="2" r:id="rId5"/>
    <sheet state="visible" name="pont" sheetId="3" r:id="rId6"/>
    <sheet state="visible" name="pontozas" sheetId="4" r:id="rId7"/>
    <sheet state="visible" name="temp" sheetId="5" r:id="rId8"/>
    <sheet state="visible" name="temp2" sheetId="6" r:id="rId9"/>
  </sheets>
  <definedNames/>
  <calcPr/>
</workbook>
</file>

<file path=xl/sharedStrings.xml><?xml version="1.0" encoding="utf-8"?>
<sst xmlns="http://schemas.openxmlformats.org/spreadsheetml/2006/main" count="1005" uniqueCount="255">
  <si>
    <t>https://sports.sportingbet.com/en/sports?wm=4582295&amp;affiliate=ia_com&amp;btag=a_26261b_44427c_14320d_&amp;siteid=26261#leagueIds=5419&amp;sportId=12</t>
  </si>
  <si>
    <t>X</t>
  </si>
  <si>
    <t>final</t>
  </si>
  <si>
    <t>team1</t>
  </si>
  <si>
    <t>team2</t>
  </si>
  <si>
    <t>letter</t>
  </si>
  <si>
    <t>szorzó</t>
  </si>
  <si>
    <t>Csiszi</t>
  </si>
  <si>
    <t>Viki</t>
  </si>
  <si>
    <t>Kinga</t>
  </si>
  <si>
    <t>Tomi</t>
  </si>
  <si>
    <t>Benő</t>
  </si>
  <si>
    <t>Geri</t>
  </si>
  <si>
    <t>Andris</t>
  </si>
  <si>
    <t>Ki lesz a bajnok?</t>
  </si>
  <si>
    <t>Sweden</t>
  </si>
  <si>
    <t>Finland</t>
  </si>
  <si>
    <t>United States</t>
  </si>
  <si>
    <t>Russia</t>
  </si>
  <si>
    <t>Ki lesz az ezüstérmes?</t>
  </si>
  <si>
    <t>Germany</t>
  </si>
  <si>
    <t>Canada</t>
  </si>
  <si>
    <t>Ki lesz a bronzérmes?</t>
  </si>
  <si>
    <t>Czech Republic</t>
  </si>
  <si>
    <t>France</t>
  </si>
  <si>
    <t>7:0</t>
  </si>
  <si>
    <t>4:0</t>
  </si>
  <si>
    <t>5:1</t>
  </si>
  <si>
    <t>3:1</t>
  </si>
  <si>
    <t>3:2</t>
  </si>
  <si>
    <t>4:1</t>
  </si>
  <si>
    <t>5:2</t>
  </si>
  <si>
    <t>Belarus</t>
  </si>
  <si>
    <t>5:0</t>
  </si>
  <si>
    <t>6:0</t>
  </si>
  <si>
    <t>3:0</t>
  </si>
  <si>
    <t>2:3</t>
  </si>
  <si>
    <t>4:4</t>
  </si>
  <si>
    <t>1:3</t>
  </si>
  <si>
    <t>2:4</t>
  </si>
  <si>
    <t>2:1</t>
  </si>
  <si>
    <t>3:3</t>
  </si>
  <si>
    <t>Denmark</t>
  </si>
  <si>
    <t>2:2</t>
  </si>
  <si>
    <t>1:2</t>
  </si>
  <si>
    <t>Switzerland</t>
  </si>
  <si>
    <t>Austria</t>
  </si>
  <si>
    <t>6:2</t>
  </si>
  <si>
    <t>1:1</t>
  </si>
  <si>
    <t>3:4</t>
  </si>
  <si>
    <t>0:2</t>
  </si>
  <si>
    <t>1:0</t>
  </si>
  <si>
    <t>Slovakia</t>
  </si>
  <si>
    <t>4:2</t>
  </si>
  <si>
    <t>4:3</t>
  </si>
  <si>
    <t>Norway</t>
  </si>
  <si>
    <t>Latvia</t>
  </si>
  <si>
    <t>3:5</t>
  </si>
  <si>
    <t>South Korea</t>
  </si>
  <si>
    <t>8:1</t>
  </si>
  <si>
    <t>7:1</t>
  </si>
  <si>
    <t>0:4</t>
  </si>
  <si>
    <t>1:4</t>
  </si>
  <si>
    <t>0:3</t>
  </si>
  <si>
    <t>2:5</t>
  </si>
  <si>
    <t>0:7</t>
  </si>
  <si>
    <t>0:6</t>
  </si>
  <si>
    <t>1:6</t>
  </si>
  <si>
    <t>0:5</t>
  </si>
  <si>
    <t>1:5</t>
  </si>
  <si>
    <t>1:7</t>
  </si>
  <si>
    <t>0:10</t>
  </si>
  <si>
    <t>0:8</t>
  </si>
  <si>
    <t>1:9</t>
  </si>
  <si>
    <t>1:8</t>
  </si>
  <si>
    <t>2:6</t>
  </si>
  <si>
    <t>6:1</t>
  </si>
  <si>
    <t>2:0</t>
  </si>
  <si>
    <t>8:0</t>
  </si>
  <si>
    <t>13:1</t>
  </si>
  <si>
    <t>9:0</t>
  </si>
  <si>
    <t>3:9</t>
  </si>
  <si>
    <t>4:7</t>
  </si>
  <si>
    <t>5:5</t>
  </si>
  <si>
    <t>5:4</t>
  </si>
  <si>
    <t>5:3</t>
  </si>
  <si>
    <t>4:5</t>
  </si>
  <si>
    <t>Helyezés</t>
  </si>
  <si>
    <t>Név</t>
  </si>
  <si>
    <t>Pont</t>
  </si>
  <si>
    <t>IDE NE ÍRJ SEMMIT!</t>
  </si>
  <si>
    <t>aranyérmes tipp</t>
  </si>
  <si>
    <t>ezüstérmes tipp</t>
  </si>
  <si>
    <t>bronzérmes tipp</t>
  </si>
  <si>
    <t>eredmény (* ODDS)</t>
  </si>
  <si>
    <t>gólkülönbség</t>
  </si>
  <si>
    <t>pontos eredmény</t>
  </si>
  <si>
    <t>minden említett dobogós</t>
  </si>
  <si>
    <t>pontos helyezés</t>
  </si>
  <si>
    <t>aranyérmes</t>
  </si>
  <si>
    <t>ezüstérmes</t>
  </si>
  <si>
    <t>bronzérmes</t>
  </si>
  <si>
    <t>TeamA</t>
  </si>
  <si>
    <t>TeamB</t>
  </si>
  <si>
    <t>x</t>
  </si>
  <si>
    <t>Canada (1.44)</t>
  </si>
  <si>
    <t>Draw (5.75)</t>
  </si>
  <si>
    <t>USA (5.6)</t>
  </si>
  <si>
    <t>All Odds</t>
  </si>
  <si>
    <t>Latvia (12)</t>
  </si>
  <si>
    <t>Draw (9)</t>
  </si>
  <si>
    <t>Sweden (1.2)</t>
  </si>
  <si>
    <t>Belarus (9.25)</t>
  </si>
  <si>
    <t>Draw (7)</t>
  </si>
  <si>
    <t>Finland (1.3)</t>
  </si>
  <si>
    <t>Russia (1.57)</t>
  </si>
  <si>
    <t>Draw (5.25)</t>
  </si>
  <si>
    <t>Czech Republic (5)</t>
  </si>
  <si>
    <t>Hungary (15)</t>
  </si>
  <si>
    <t>Draw (10)</t>
  </si>
  <si>
    <t>Slovakia (1.18)</t>
  </si>
  <si>
    <t>Kazakhstan (6.1)</t>
  </si>
  <si>
    <t>Draw (5.65)</t>
  </si>
  <si>
    <t>Switzerland (1.5)</t>
  </si>
  <si>
    <t>Denmark (3)</t>
  </si>
  <si>
    <t>Draw (4.33)</t>
  </si>
  <si>
    <t>Norway (2.15)</t>
  </si>
  <si>
    <t>Germany (1.95)</t>
  </si>
  <si>
    <t>Draw (4.5)</t>
  </si>
  <si>
    <t>France (3.4)</t>
  </si>
  <si>
    <t>Czech Republic (1.25)</t>
  </si>
  <si>
    <t>Latvia (9.5)</t>
  </si>
  <si>
    <t>USA (1.45)</t>
  </si>
  <si>
    <t>Belarus (5.5)</t>
  </si>
  <si>
    <t>Canada (1.01)</t>
  </si>
  <si>
    <t>Draw (23)</t>
  </si>
  <si>
    <t>Hungary (41)</t>
  </si>
  <si>
    <t>Russia (1.07)</t>
  </si>
  <si>
    <t>Draw (17)</t>
  </si>
  <si>
    <t>Kazakhstan (28)</t>
  </si>
  <si>
    <t>Germany (8.5)</t>
  </si>
  <si>
    <t>Finland (1.29)</t>
  </si>
  <si>
    <t>Switzerland (1.67)</t>
  </si>
  <si>
    <t>Draw (4.6)</t>
  </si>
  <si>
    <t>Norway (4.3)</t>
  </si>
  <si>
    <t>Denmark (10)</t>
  </si>
  <si>
    <t>Draw (8.5)</t>
  </si>
  <si>
    <t>Slovakia (1.45)</t>
  </si>
  <si>
    <t>France (6)</t>
  </si>
  <si>
    <t>Canada (1.1)</t>
  </si>
  <si>
    <t>Draw (12)</t>
  </si>
  <si>
    <t>Belarus (16)</t>
  </si>
  <si>
    <t>Russia (1.09)</t>
  </si>
  <si>
    <t>Draw (19)</t>
  </si>
  <si>
    <t>Latvia (26)</t>
  </si>
  <si>
    <t>Czech Republic (2.95)</t>
  </si>
  <si>
    <t>Sweden (2.1)</t>
  </si>
  <si>
    <t>USA (3.8)</t>
  </si>
  <si>
    <t>Draw (4.65)</t>
  </si>
  <si>
    <t>Finland (1.73)</t>
  </si>
  <si>
    <t>Denmark (4.3)</t>
  </si>
  <si>
    <t>Draw (5)</t>
  </si>
  <si>
    <t>Switzerland (1.63)</t>
  </si>
  <si>
    <t>Germany (4)</t>
  </si>
  <si>
    <t>Slovakia (1.69)</t>
  </si>
  <si>
    <t>France (1.53)</t>
  </si>
  <si>
    <t>Hungary (4.75)</t>
  </si>
  <si>
    <t>Norway (1.69)</t>
  </si>
  <si>
    <t>Kazakhstan (4.15)</t>
  </si>
  <si>
    <t>Belarus (3.85)</t>
  </si>
  <si>
    <t>Draw (4.75)</t>
  </si>
  <si>
    <t>Latvia (4.65)</t>
  </si>
  <si>
    <t>Switzerland (1.53)</t>
  </si>
  <si>
    <t>Hungary (28)</t>
  </si>
  <si>
    <t>Draw (18.5)</t>
  </si>
  <si>
    <t>Finland (1.03)</t>
  </si>
  <si>
    <t>Kazakhstan (17)</t>
  </si>
  <si>
    <t>Draw (11.5)</t>
  </si>
  <si>
    <t>Sweden (1.12)</t>
  </si>
  <si>
    <t>France (6.7)</t>
  </si>
  <si>
    <t>Draw (6.7)</t>
  </si>
  <si>
    <t>USA (1.33)</t>
  </si>
  <si>
    <t>Norway (6.95)</t>
  </si>
  <si>
    <t>Draw (6.5)</t>
  </si>
  <si>
    <t>Czech Republic (1.3)</t>
  </si>
  <si>
    <t>Denmark (13.3)</t>
  </si>
  <si>
    <t>Russia (1.11)</t>
  </si>
  <si>
    <t>Germany (15.5)</t>
  </si>
  <si>
    <t>Draw (11)</t>
  </si>
  <si>
    <t>Draw (13)</t>
  </si>
  <si>
    <t>USA (1.09)</t>
  </si>
  <si>
    <t>Kazakhstan (12.5)</t>
  </si>
  <si>
    <t>Czech Republic (1.14)</t>
  </si>
  <si>
    <t>Belarus (2.35)</t>
  </si>
  <si>
    <t>Draw (4.4)</t>
  </si>
  <si>
    <t>Germany (2.4)</t>
  </si>
  <si>
    <t>Latvia (2.85)</t>
  </si>
  <si>
    <t>Draw (4.3)</t>
  </si>
  <si>
    <t>Denmark (2.15)</t>
  </si>
  <si>
    <t>Finland (1.14)</t>
  </si>
  <si>
    <t>France (13)</t>
  </si>
  <si>
    <t>Draw (8)</t>
  </si>
  <si>
    <t>Norway (8.5)</t>
  </si>
  <si>
    <t>Belarus (1.25)</t>
  </si>
  <si>
    <t>Draw (7.2)</t>
  </si>
  <si>
    <t>Hungary (7)</t>
  </si>
  <si>
    <t>Switzerland (6.5)</t>
  </si>
  <si>
    <t>Russia (1.33)</t>
  </si>
  <si>
    <t>Latvia (2.15)</t>
  </si>
  <si>
    <t>Draw (4.45)</t>
  </si>
  <si>
    <t>Kazakhstan (2.65)</t>
  </si>
  <si>
    <t>Slovakia (7)</t>
  </si>
  <si>
    <t>Canada (1.3)</t>
  </si>
  <si>
    <t>Draw (8.25)</t>
  </si>
  <si>
    <t>Denmark (7.75)</t>
  </si>
  <si>
    <t>USA (1.53)</t>
  </si>
  <si>
    <t>Germany (5.25)</t>
  </si>
  <si>
    <t>Finland (1.45)</t>
  </si>
  <si>
    <t>Draw (5.5)</t>
  </si>
  <si>
    <t>Slovakia (5)</t>
  </si>
  <si>
    <t>Sweden (1.45)</t>
  </si>
  <si>
    <t>Draw (5.85)</t>
  </si>
  <si>
    <t>Switzerland (5.65)</t>
  </si>
  <si>
    <t>France (23)</t>
  </si>
  <si>
    <t>Canada (1.07)</t>
  </si>
  <si>
    <t>Norway (11)</t>
  </si>
  <si>
    <t>Russia (1.14)</t>
  </si>
  <si>
    <t>Germany (1.25)</t>
  </si>
  <si>
    <t>Kazakhstan (2.75)</t>
  </si>
  <si>
    <t>Denmark (2.05)</t>
  </si>
  <si>
    <t>Slovakia (3.75)</t>
  </si>
  <si>
    <t>Draw (4.8)</t>
  </si>
  <si>
    <t>USA (1.75)</t>
  </si>
  <si>
    <t>Switzerland (5)</t>
  </si>
  <si>
    <t>Czech Republic (1.5)</t>
  </si>
  <si>
    <t>France (3.2)</t>
  </si>
  <si>
    <t>Belarus (1.85)</t>
  </si>
  <si>
    <t>Norway (2)</t>
  </si>
  <si>
    <t>Latvia (2.9)</t>
  </si>
  <si>
    <t>Finland (3.6)</t>
  </si>
  <si>
    <t>Canada (1.9)</t>
  </si>
  <si>
    <t>Sweden (3.2)</t>
  </si>
  <si>
    <t>Russia (1.87)</t>
  </si>
  <si>
    <t>4 May 2018</t>
  </si>
  <si>
    <t>5 May 2018</t>
  </si>
  <si>
    <t>6 May 2018</t>
  </si>
  <si>
    <t>7 May 2018</t>
  </si>
  <si>
    <t>8 May 2018</t>
  </si>
  <si>
    <t>9 May 2018</t>
  </si>
  <si>
    <t>10 May 2018</t>
  </si>
  <si>
    <t>11 May 2018</t>
  </si>
  <si>
    <t>12 May 2018</t>
  </si>
  <si>
    <t>13 May 2018</t>
  </si>
  <si>
    <t>14 May 2018</t>
  </si>
  <si>
    <t>15 May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</si>
</sst>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0.0"/>
  </numFmts>
  <fonts count="17">
    <font>
      <sz val="10.0"/>
      <color rgb="FF000000"/>
      <name val="Arial"/>
    </font>
    <font>
      <sz val="8.0"/>
    </font>
    <font/>
    <font>
      <sz val="9.0"/>
      <color rgb="FF434343"/>
    </font>
    <font>
      <sz val="9.0"/>
      <color rgb="FF474747"/>
    </font>
    <font>
      <b/>
      <sz val="9.0"/>
      <color rgb="FF474747"/>
    </font>
    <font>
      <b/>
      <sz val="9.0"/>
      <color rgb="FF434343"/>
    </font>
    <font>
      <b/>
      <color rgb="FF434343"/>
    </font>
    <font>
      <b/>
    </font>
    <font>
      <sz val="10.0"/>
    </font>
    <font>
      <sz val="9.0"/>
    </font>
    <font>
      <b/>
      <color rgb="FFFFFFFF"/>
    </font>
    <font>
      <sz val="9.0"/>
      <color rgb="FF252525"/>
    </font>
    <font>
      <b/>
      <sz val="9.0"/>
    </font>
    <font>
      <b/>
      <sz val="9.0"/>
      <color rgb="FF252525"/>
    </font>
    <font>
      <sz val="9.0"/>
      <color rgb="FF404040"/>
      <name val="Sans-serif"/>
    </font>
    <font>
      <u/>
      <sz val="9.0"/>
      <color rgb="FFFFFFFF"/>
      <name val="Sans-serif !important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FFFFFF"/>
      </right>
      <bottom style="thin">
        <color rgb="FFC4C6C8"/>
      </bottom>
    </border>
    <border>
      <bottom style="thin">
        <color rgb="FFC4C6C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4" numFmtId="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2" fontId="5" numFmtId="49" xfId="0" applyAlignment="1" applyFill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6" numFmtId="49" xfId="0" applyAlignment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0" fillId="2" fontId="8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0" numFmtId="0" xfId="0" applyFont="1"/>
    <xf borderId="0" fillId="0" fontId="4" numFmtId="4" xfId="0" applyAlignment="1" applyFont="1" applyNumberFormat="1">
      <alignment horizontal="center" vertical="center"/>
    </xf>
    <xf borderId="0" fillId="2" fontId="8" numFmtId="49" xfId="0" applyAlignment="1" applyFont="1" applyNumberFormat="1">
      <alignment horizontal="center" vertical="center"/>
    </xf>
    <xf borderId="0" fillId="0" fontId="8" numFmtId="0" xfId="0" applyFont="1"/>
    <xf borderId="0" fillId="3" fontId="1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0" fontId="2" numFmtId="165" xfId="0" applyFont="1" applyNumberFormat="1"/>
    <xf borderId="0" fillId="4" fontId="12" numFmtId="0" xfId="0" applyFill="1" applyFont="1"/>
    <xf borderId="0" fillId="0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2" fillId="0" fontId="1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ports.sportingbet.com/en/sports?wm=4582295&amp;affiliate=ia_com&amp;btag=a_26261b_44427c_14320d_&amp;siteid=2626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ww.oddschecker.com/ice-hockey/international/iihf-world-championship/switzerland-at-russia/winner" TargetMode="External"/><Relationship Id="rId42" Type="http://schemas.openxmlformats.org/officeDocument/2006/relationships/hyperlink" Target="http://www.oddschecker.com/ice-hockey/international/iihf-world-championship/slovakia-at-canada/winner" TargetMode="External"/><Relationship Id="rId41" Type="http://schemas.openxmlformats.org/officeDocument/2006/relationships/hyperlink" Target="http://www.oddschecker.com/ice-hockey/international/iihf-world-championship/latvia-at-kazakhstan/winner" TargetMode="External"/><Relationship Id="rId44" Type="http://schemas.openxmlformats.org/officeDocument/2006/relationships/hyperlink" Target="http://www.oddschecker.com/ice-hockey/international/iihf-world-championship/usa-at-germany/winner" TargetMode="External"/><Relationship Id="rId43" Type="http://schemas.openxmlformats.org/officeDocument/2006/relationships/hyperlink" Target="http://www.oddschecker.com/ice-hockey/international/iihf-world-championship/czech-republic-at-denmark/winner" TargetMode="External"/><Relationship Id="rId46" Type="http://schemas.openxmlformats.org/officeDocument/2006/relationships/hyperlink" Target="http://www.oddschecker.com/ice-hockey/international/iihf-world-championship/sweden-at-switzerland/winner" TargetMode="External"/><Relationship Id="rId45" Type="http://schemas.openxmlformats.org/officeDocument/2006/relationships/hyperlink" Target="http://www.oddschecker.com/ice-hockey/international/iihf-world-championship/finland-at-slovakia/winner" TargetMode="External"/><Relationship Id="rId1" Type="http://schemas.openxmlformats.org/officeDocument/2006/relationships/hyperlink" Target="http://www.oddschecker.com/ice-hockey/international/iihf-world-championship/canada-at-usa/winner" TargetMode="External"/><Relationship Id="rId2" Type="http://schemas.openxmlformats.org/officeDocument/2006/relationships/hyperlink" Target="http://www.oddschecker.com/ice-hockey/international/iihf-world-championship/latvia-at-sweden/winner" TargetMode="External"/><Relationship Id="rId3" Type="http://schemas.openxmlformats.org/officeDocument/2006/relationships/hyperlink" Target="http://www.oddschecker.com/ice-hockey/international/iihf-world-championship/belarus-at-finland/winner" TargetMode="External"/><Relationship Id="rId4" Type="http://schemas.openxmlformats.org/officeDocument/2006/relationships/hyperlink" Target="http://www.oddschecker.com/ice-hockey/international/iihf-world-championship/russia-at-czech-republic/winner" TargetMode="External"/><Relationship Id="rId9" Type="http://schemas.openxmlformats.org/officeDocument/2006/relationships/hyperlink" Target="http://www.oddschecker.com/ice-hockey/international/iihf-world-championship/czech-republic-at-latvia/winner" TargetMode="External"/><Relationship Id="rId48" Type="http://schemas.openxmlformats.org/officeDocument/2006/relationships/hyperlink" Target="http://www.oddschecker.com/ice-hockey/international/iihf-world-championship/norway-at-russia/winner" TargetMode="External"/><Relationship Id="rId47" Type="http://schemas.openxmlformats.org/officeDocument/2006/relationships/hyperlink" Target="http://www.oddschecker.com/ice-hockey/international/iihf-world-championship/france-at-canada/winner" TargetMode="External"/><Relationship Id="rId49" Type="http://schemas.openxmlformats.org/officeDocument/2006/relationships/hyperlink" Target="http://www.oddschecker.com/ice-hockey/international/iihf-world-championship/hungary-at-germany/winner" TargetMode="External"/><Relationship Id="rId5" Type="http://schemas.openxmlformats.org/officeDocument/2006/relationships/hyperlink" Target="http://www.oddschecker.com/ice-hockey/international/iihf-world-championship/hungary-at-slovakia/winner" TargetMode="External"/><Relationship Id="rId6" Type="http://schemas.openxmlformats.org/officeDocument/2006/relationships/hyperlink" Target="http://www.oddschecker.com/ice-hockey/international/iihf-world-championship/kazakhstan-at-switzerland/winner" TargetMode="External"/><Relationship Id="rId7" Type="http://schemas.openxmlformats.org/officeDocument/2006/relationships/hyperlink" Target="http://www.oddschecker.com/ice-hockey/international/iihf-world-championship/denmark-at-norway/winner" TargetMode="External"/><Relationship Id="rId8" Type="http://schemas.openxmlformats.org/officeDocument/2006/relationships/hyperlink" Target="http://www.oddschecker.com/ice-hockey/international/iihf-world-championship/germany-at-france/winner" TargetMode="External"/><Relationship Id="rId31" Type="http://schemas.openxmlformats.org/officeDocument/2006/relationships/hyperlink" Target="http://www.oddschecker.com/ice-hockey/international/iihf-world-championship/denmark-at-russia/winner" TargetMode="External"/><Relationship Id="rId30" Type="http://schemas.openxmlformats.org/officeDocument/2006/relationships/hyperlink" Target="http://www.oddschecker.com/ice-hockey/international/iihf-world-championship/norway-at-czech-republic/winner" TargetMode="External"/><Relationship Id="rId33" Type="http://schemas.openxmlformats.org/officeDocument/2006/relationships/hyperlink" Target="http://www.oddschecker.com/ice-hockey/international/iihf-world-championship/hungary-at-usa/winner" TargetMode="External"/><Relationship Id="rId32" Type="http://schemas.openxmlformats.org/officeDocument/2006/relationships/hyperlink" Target="http://www.oddschecker.com/ice-hockey/international/iihf-world-championship/germany-at-canada/winner" TargetMode="External"/><Relationship Id="rId35" Type="http://schemas.openxmlformats.org/officeDocument/2006/relationships/hyperlink" Target="http://www.oddschecker.com/ice-hockey/international/iihf-world-championship/belarus-at-germany/winner" TargetMode="External"/><Relationship Id="rId34" Type="http://schemas.openxmlformats.org/officeDocument/2006/relationships/hyperlink" Target="http://www.oddschecker.com/ice-hockey/international/iihf-world-championship/kazakhstan-at-czech-republic/winner" TargetMode="External"/><Relationship Id="rId37" Type="http://schemas.openxmlformats.org/officeDocument/2006/relationships/hyperlink" Target="http://www.oddschecker.com/ice-hockey/international/iihf-world-championship/finland-at-france/winner" TargetMode="External"/><Relationship Id="rId36" Type="http://schemas.openxmlformats.org/officeDocument/2006/relationships/hyperlink" Target="http://www.oddschecker.com/ice-hockey/international/iihf-world-championship/latvia-at-denmark/winner" TargetMode="External"/><Relationship Id="rId39" Type="http://schemas.openxmlformats.org/officeDocument/2006/relationships/hyperlink" Target="http://www.oddschecker.com/ice-hockey/international/iihf-world-championship/belarus-at-hungary/winner" TargetMode="External"/><Relationship Id="rId38" Type="http://schemas.openxmlformats.org/officeDocument/2006/relationships/hyperlink" Target="http://www.oddschecker.com/ice-hockey/international/iihf-world-championship/sweden-at-norway/winner" TargetMode="External"/><Relationship Id="rId20" Type="http://schemas.openxmlformats.org/officeDocument/2006/relationships/hyperlink" Target="http://www.oddschecker.com/ice-hockey/international/iihf-world-championship/usa-at-finland/winner" TargetMode="External"/><Relationship Id="rId22" Type="http://schemas.openxmlformats.org/officeDocument/2006/relationships/hyperlink" Target="http://www.oddschecker.com/ice-hockey/international/iihf-world-championship/germany-at-slovakia/winner" TargetMode="External"/><Relationship Id="rId21" Type="http://schemas.openxmlformats.org/officeDocument/2006/relationships/hyperlink" Target="http://www.oddschecker.com/ice-hockey/international/iihf-world-championship/denmark-at-switzerland/winner" TargetMode="External"/><Relationship Id="rId24" Type="http://schemas.openxmlformats.org/officeDocument/2006/relationships/hyperlink" Target="http://www.oddschecker.com/ice-hockey/international/iihf-world-championship/norway-at-kazakhstan/winner" TargetMode="External"/><Relationship Id="rId23" Type="http://schemas.openxmlformats.org/officeDocument/2006/relationships/hyperlink" Target="http://www.oddschecker.com/ice-hockey/international/iihf-world-championship/france-at-hungary/winner" TargetMode="External"/><Relationship Id="rId26" Type="http://schemas.openxmlformats.org/officeDocument/2006/relationships/hyperlink" Target="http://www.oddschecker.com/ice-hockey/international/iihf-world-championship/latvia-at-switzerland/winner" TargetMode="External"/><Relationship Id="rId25" Type="http://schemas.openxmlformats.org/officeDocument/2006/relationships/hyperlink" Target="http://www.oddschecker.com/ice-hockey/international/iihf-world-championship/belarus-at-slovakia/winner" TargetMode="External"/><Relationship Id="rId28" Type="http://schemas.openxmlformats.org/officeDocument/2006/relationships/hyperlink" Target="http://www.oddschecker.com/ice-hockey/international/iihf-world-championship/kazakhstan-at-sweden/winner" TargetMode="External"/><Relationship Id="rId27" Type="http://schemas.openxmlformats.org/officeDocument/2006/relationships/hyperlink" Target="http://www.oddschecker.com/ice-hockey/international/iihf-world-championship/hungary-at-finland/winner" TargetMode="External"/><Relationship Id="rId29" Type="http://schemas.openxmlformats.org/officeDocument/2006/relationships/hyperlink" Target="http://www.oddschecker.com/ice-hockey/international/iihf-world-championship/france-at-usa/winner" TargetMode="External"/><Relationship Id="rId51" Type="http://schemas.openxmlformats.org/officeDocument/2006/relationships/hyperlink" Target="http://www.oddschecker.com/ice-hockey/international/iihf-world-championship/slovakia-at-usa/winner" TargetMode="External"/><Relationship Id="rId50" Type="http://schemas.openxmlformats.org/officeDocument/2006/relationships/hyperlink" Target="http://www.oddschecker.com/ice-hockey/international/iihf-world-championship/kazakhstan-at-denmark/winner" TargetMode="External"/><Relationship Id="rId53" Type="http://schemas.openxmlformats.org/officeDocument/2006/relationships/hyperlink" Target="http://www.oddschecker.com/ice-hockey/international/iihf-world-championship/france-at-belarus/winner" TargetMode="External"/><Relationship Id="rId52" Type="http://schemas.openxmlformats.org/officeDocument/2006/relationships/hyperlink" Target="http://www.oddschecker.com/ice-hockey/international/iihf-world-championship/switzerland-at-czech-republic/winner" TargetMode="External"/><Relationship Id="rId11" Type="http://schemas.openxmlformats.org/officeDocument/2006/relationships/hyperlink" Target="http://www.oddschecker.com/ice-hockey/international/iihf-world-championship/canada-at-hungary/winner" TargetMode="External"/><Relationship Id="rId55" Type="http://schemas.openxmlformats.org/officeDocument/2006/relationships/hyperlink" Target="http://www.oddschecker.com/ice-hockey/international/iihf-world-championship/finland-at-canada/winner" TargetMode="External"/><Relationship Id="rId10" Type="http://schemas.openxmlformats.org/officeDocument/2006/relationships/hyperlink" Target="http://www.oddschecker.com/ice-hockey/international/iihf-world-championship/usa-at-belarus/winner" TargetMode="External"/><Relationship Id="rId54" Type="http://schemas.openxmlformats.org/officeDocument/2006/relationships/hyperlink" Target="http://www.oddschecker.com/ice-hockey/international/iihf-world-championship/norway-at-latvia/winner" TargetMode="External"/><Relationship Id="rId13" Type="http://schemas.openxmlformats.org/officeDocument/2006/relationships/hyperlink" Target="http://www.oddschecker.com/ice-hockey/international/iihf-world-championship/germany-at-finland/winner" TargetMode="External"/><Relationship Id="rId12" Type="http://schemas.openxmlformats.org/officeDocument/2006/relationships/hyperlink" Target="http://www.oddschecker.com/ice-hockey/international/iihf-world-championship/russia-at-kazakhstan/winner" TargetMode="External"/><Relationship Id="rId56" Type="http://schemas.openxmlformats.org/officeDocument/2006/relationships/drawing" Target="../drawings/drawing5.xml"/><Relationship Id="rId15" Type="http://schemas.openxmlformats.org/officeDocument/2006/relationships/hyperlink" Target="http://www.oddschecker.com/ice-hockey/international/iihf-world-championship/denmark-at-sweden/winner" TargetMode="External"/><Relationship Id="rId14" Type="http://schemas.openxmlformats.org/officeDocument/2006/relationships/hyperlink" Target="http://www.oddschecker.com/ice-hockey/international/iihf-world-championship/switzerland-at-norway/winner" TargetMode="External"/><Relationship Id="rId17" Type="http://schemas.openxmlformats.org/officeDocument/2006/relationships/hyperlink" Target="http://www.oddschecker.com/ice-hockey/international/iihf-world-championship/canada-at-belarus/winner" TargetMode="External"/><Relationship Id="rId16" Type="http://schemas.openxmlformats.org/officeDocument/2006/relationships/hyperlink" Target="http://www.oddschecker.com/ice-hockey/international/iihf-world-championship/slovakia-at-france/winner" TargetMode="External"/><Relationship Id="rId19" Type="http://schemas.openxmlformats.org/officeDocument/2006/relationships/hyperlink" Target="http://www.oddschecker.com/ice-hockey/international/iihf-world-championship/czech-republic-at-sweden/winner" TargetMode="External"/><Relationship Id="rId18" Type="http://schemas.openxmlformats.org/officeDocument/2006/relationships/hyperlink" Target="http://www.oddschecker.com/ice-hockey/international/iihf-world-championship/russia-at-latvia/winne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2.88"/>
    <col customWidth="1" min="2" max="2" width="11.75"/>
    <col customWidth="1" min="3" max="5" width="4.75"/>
    <col customWidth="1" min="6" max="6" width="5.13"/>
    <col customWidth="1" hidden="1" min="7" max="8" width="5.38"/>
    <col customWidth="1" hidden="1" min="9" max="9" width="4.5"/>
    <col customWidth="1" hidden="1" min="10" max="10" width="5.75"/>
    <col customWidth="1" min="11" max="11" width="8.25"/>
    <col customWidth="1" min="12" max="12" width="9.75"/>
    <col customWidth="1" min="13" max="13" width="11.88"/>
    <col customWidth="1" min="14" max="14" width="9.38"/>
    <col customWidth="1" min="15" max="15" width="10.5"/>
    <col customWidth="1" min="16" max="16" width="8.75"/>
    <col customWidth="1" min="17" max="17" width="11.25"/>
    <col customWidth="1" min="18" max="18" width="10.25"/>
    <col customWidth="1" min="19" max="19" width="8.25"/>
    <col customWidth="1" min="20" max="23" width="6.13"/>
  </cols>
  <sheetData>
    <row r="1">
      <c r="A1" s="1" t="s">
        <v>0</v>
      </c>
      <c r="C1" s="2">
        <v>1.0</v>
      </c>
      <c r="D1" s="2" t="s">
        <v>1</v>
      </c>
      <c r="E1" s="2">
        <v>2.0</v>
      </c>
      <c r="F1" s="3" t="s">
        <v>2</v>
      </c>
      <c r="G1" s="3" t="s">
        <v>3</v>
      </c>
      <c r="H1" s="3" t="s">
        <v>4</v>
      </c>
      <c r="I1" s="3" t="s">
        <v>5</v>
      </c>
      <c r="J1" s="2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4"/>
      <c r="Q1" s="3" t="s">
        <v>12</v>
      </c>
      <c r="R1" s="3" t="s">
        <v>13</v>
      </c>
      <c r="S1" s="3"/>
      <c r="T1" s="5"/>
      <c r="U1" s="5"/>
      <c r="V1" s="5"/>
      <c r="W1" s="5"/>
    </row>
    <row r="2">
      <c r="A2" s="6" t="s">
        <v>14</v>
      </c>
      <c r="G2" s="7"/>
      <c r="H2" s="7"/>
      <c r="I2" s="7"/>
      <c r="J2" s="8"/>
      <c r="K2" s="3" t="s">
        <v>15</v>
      </c>
      <c r="L2" s="3" t="s">
        <v>16</v>
      </c>
      <c r="M2" s="3" t="s">
        <v>16</v>
      </c>
      <c r="N2" s="3" t="s">
        <v>15</v>
      </c>
      <c r="O2" s="3" t="s">
        <v>17</v>
      </c>
      <c r="P2" s="3"/>
      <c r="Q2" s="3" t="s">
        <v>18</v>
      </c>
      <c r="R2" s="3"/>
      <c r="S2" s="3"/>
      <c r="T2" s="3"/>
      <c r="U2" s="3"/>
      <c r="V2" s="3"/>
      <c r="W2" s="3"/>
    </row>
    <row r="3">
      <c r="A3" s="6" t="s">
        <v>19</v>
      </c>
      <c r="G3" s="7"/>
      <c r="H3" s="7"/>
      <c r="I3" s="7"/>
      <c r="J3" s="8"/>
      <c r="K3" s="3" t="s">
        <v>18</v>
      </c>
      <c r="L3" s="3" t="s">
        <v>20</v>
      </c>
      <c r="M3" s="3" t="s">
        <v>15</v>
      </c>
      <c r="N3" s="3" t="s">
        <v>18</v>
      </c>
      <c r="O3" s="3" t="s">
        <v>21</v>
      </c>
      <c r="P3" s="3"/>
      <c r="Q3" s="3" t="s">
        <v>16</v>
      </c>
      <c r="R3" s="3"/>
      <c r="S3" s="3"/>
      <c r="T3" s="3"/>
      <c r="U3" s="3"/>
      <c r="V3" s="3"/>
      <c r="W3" s="3"/>
    </row>
    <row r="4">
      <c r="A4" s="6" t="s">
        <v>22</v>
      </c>
      <c r="G4" s="7"/>
      <c r="H4" s="7"/>
      <c r="I4" s="7"/>
      <c r="J4" s="8"/>
      <c r="K4" s="3" t="s">
        <v>21</v>
      </c>
      <c r="L4" s="3" t="s">
        <v>23</v>
      </c>
      <c r="M4" s="3" t="s">
        <v>18</v>
      </c>
      <c r="N4" s="3" t="s">
        <v>21</v>
      </c>
      <c r="O4" s="3" t="s">
        <v>15</v>
      </c>
      <c r="P4" s="3"/>
      <c r="Q4" s="3" t="s">
        <v>21</v>
      </c>
      <c r="R4" s="3"/>
      <c r="S4" s="3"/>
      <c r="T4" s="3"/>
      <c r="U4" s="3"/>
      <c r="V4" s="3"/>
      <c r="W4" s="3"/>
    </row>
    <row r="5">
      <c r="A5" s="9" t="s">
        <v>18</v>
      </c>
      <c r="B5" s="9" t="s">
        <v>24</v>
      </c>
      <c r="C5" s="10">
        <v>1.08</v>
      </c>
      <c r="D5" s="11">
        <v>43409.0</v>
      </c>
      <c r="E5" s="10">
        <v>17.0</v>
      </c>
      <c r="F5" s="12" t="s">
        <v>25</v>
      </c>
      <c r="G5" s="7" t="str">
        <f t="shared" ref="G5:G90" si="1">left(F5,find(":",F5)-1)</f>
        <v>7</v>
      </c>
      <c r="H5" s="7" t="str">
        <f t="shared" ref="H5:H90" si="2">right(F5,(len(F5)-find(":",F5)))</f>
        <v>0</v>
      </c>
      <c r="I5" s="7">
        <f t="shared" ref="I5:I90" si="3">if(G5&gt;H5,1,if(H5&gt;G5,2,"x"))</f>
        <v>1</v>
      </c>
      <c r="J5" s="8">
        <f t="shared" ref="J5:J90" si="4">iferror(HLOOKUP(I5,$C$1:$E$100,row(),true),"")</f>
        <v>1.08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/>
      <c r="Q5" s="3" t="s">
        <v>27</v>
      </c>
      <c r="R5" s="3" t="s">
        <v>31</v>
      </c>
      <c r="S5" s="3"/>
      <c r="T5" s="5"/>
      <c r="U5" s="5"/>
      <c r="V5" s="5"/>
      <c r="W5" s="5"/>
    </row>
    <row r="6">
      <c r="A6" s="9" t="s">
        <v>15</v>
      </c>
      <c r="B6" s="9" t="s">
        <v>32</v>
      </c>
      <c r="C6" s="13">
        <v>1.17</v>
      </c>
      <c r="D6" s="10">
        <v>8.5</v>
      </c>
      <c r="E6" s="10">
        <v>10.5</v>
      </c>
      <c r="F6" s="12" t="s">
        <v>33</v>
      </c>
      <c r="G6" s="7" t="str">
        <f t="shared" si="1"/>
        <v>5</v>
      </c>
      <c r="H6" s="7" t="str">
        <f t="shared" si="2"/>
        <v>0</v>
      </c>
      <c r="I6" s="7">
        <f t="shared" si="3"/>
        <v>1</v>
      </c>
      <c r="J6" s="8">
        <f t="shared" si="4"/>
        <v>1.17</v>
      </c>
      <c r="K6" s="3" t="s">
        <v>34</v>
      </c>
      <c r="L6" s="3" t="s">
        <v>35</v>
      </c>
      <c r="M6" s="3" t="s">
        <v>26</v>
      </c>
      <c r="N6" s="3" t="s">
        <v>30</v>
      </c>
      <c r="O6" s="3" t="s">
        <v>33</v>
      </c>
      <c r="P6" s="3"/>
      <c r="Q6" s="3" t="s">
        <v>36</v>
      </c>
      <c r="R6" s="3" t="s">
        <v>35</v>
      </c>
      <c r="S6" s="3"/>
      <c r="T6" s="5"/>
      <c r="U6" s="5"/>
      <c r="V6" s="5"/>
      <c r="W6" s="5"/>
    </row>
    <row r="7">
      <c r="A7" s="9" t="s">
        <v>17</v>
      </c>
      <c r="B7" s="9" t="s">
        <v>21</v>
      </c>
      <c r="C7" s="10">
        <v>4.5</v>
      </c>
      <c r="D7" s="10">
        <v>5.0</v>
      </c>
      <c r="E7" s="10">
        <v>1.55</v>
      </c>
      <c r="F7" s="12" t="s">
        <v>37</v>
      </c>
      <c r="G7" s="7" t="str">
        <f t="shared" si="1"/>
        <v>4</v>
      </c>
      <c r="H7" s="7" t="str">
        <f t="shared" si="2"/>
        <v>4</v>
      </c>
      <c r="I7" s="7" t="str">
        <f t="shared" si="3"/>
        <v>x</v>
      </c>
      <c r="J7" s="8">
        <f t="shared" si="4"/>
        <v>5</v>
      </c>
      <c r="K7" s="3" t="s">
        <v>38</v>
      </c>
      <c r="L7" s="3" t="s">
        <v>39</v>
      </c>
      <c r="M7" s="3" t="s">
        <v>36</v>
      </c>
      <c r="N7" s="3" t="s">
        <v>40</v>
      </c>
      <c r="O7" s="3" t="s">
        <v>41</v>
      </c>
      <c r="P7" s="3"/>
      <c r="Q7" s="3" t="s">
        <v>41</v>
      </c>
      <c r="R7" s="3" t="s">
        <v>38</v>
      </c>
      <c r="S7" s="3"/>
      <c r="T7" s="5"/>
      <c r="U7" s="5"/>
      <c r="V7" s="5"/>
      <c r="W7" s="5"/>
    </row>
    <row r="8">
      <c r="A8" s="9" t="s">
        <v>20</v>
      </c>
      <c r="B8" s="9" t="s">
        <v>42</v>
      </c>
      <c r="C8" s="10">
        <v>2.3</v>
      </c>
      <c r="D8" s="10">
        <v>4.0</v>
      </c>
      <c r="E8" s="10">
        <v>2.7</v>
      </c>
      <c r="F8" s="14" t="s">
        <v>43</v>
      </c>
      <c r="G8" s="7" t="str">
        <f t="shared" si="1"/>
        <v>2</v>
      </c>
      <c r="H8" s="7" t="str">
        <f t="shared" si="2"/>
        <v>2</v>
      </c>
      <c r="I8" s="7" t="str">
        <f t="shared" si="3"/>
        <v>x</v>
      </c>
      <c r="J8" s="8">
        <f t="shared" si="4"/>
        <v>4</v>
      </c>
      <c r="K8" s="3" t="s">
        <v>39</v>
      </c>
      <c r="L8" s="3" t="s">
        <v>29</v>
      </c>
      <c r="M8" s="3" t="s">
        <v>44</v>
      </c>
      <c r="N8" s="3" t="s">
        <v>43</v>
      </c>
      <c r="O8" s="3" t="s">
        <v>36</v>
      </c>
      <c r="P8" s="3"/>
      <c r="Q8" s="3" t="s">
        <v>40</v>
      </c>
      <c r="R8" s="3" t="s">
        <v>40</v>
      </c>
      <c r="S8" s="3"/>
      <c r="T8" s="5"/>
      <c r="U8" s="5"/>
      <c r="V8" s="5"/>
      <c r="W8" s="5"/>
    </row>
    <row r="9">
      <c r="A9" s="9" t="s">
        <v>45</v>
      </c>
      <c r="B9" s="9" t="s">
        <v>46</v>
      </c>
      <c r="C9" s="10">
        <v>1.36</v>
      </c>
      <c r="D9" s="10">
        <v>6.0</v>
      </c>
      <c r="E9" s="10">
        <v>6.0</v>
      </c>
      <c r="F9" s="14" t="s">
        <v>43</v>
      </c>
      <c r="G9" s="7" t="str">
        <f t="shared" si="1"/>
        <v>2</v>
      </c>
      <c r="H9" s="7" t="str">
        <f t="shared" si="2"/>
        <v>2</v>
      </c>
      <c r="I9" s="7" t="str">
        <f t="shared" si="3"/>
        <v>x</v>
      </c>
      <c r="J9" s="8">
        <f t="shared" si="4"/>
        <v>6</v>
      </c>
      <c r="K9" s="3" t="s">
        <v>33</v>
      </c>
      <c r="L9" s="3" t="s">
        <v>28</v>
      </c>
      <c r="M9" s="3" t="s">
        <v>43</v>
      </c>
      <c r="N9" s="3" t="s">
        <v>27</v>
      </c>
      <c r="O9" s="3" t="s">
        <v>31</v>
      </c>
      <c r="P9" s="3"/>
      <c r="Q9" s="3" t="s">
        <v>35</v>
      </c>
      <c r="R9" s="3" t="s">
        <v>35</v>
      </c>
      <c r="S9" s="3"/>
      <c r="T9" s="5"/>
      <c r="U9" s="5"/>
      <c r="V9" s="5"/>
      <c r="W9" s="5"/>
    </row>
    <row r="10">
      <c r="A10" s="9" t="s">
        <v>24</v>
      </c>
      <c r="B10" s="9" t="s">
        <v>32</v>
      </c>
      <c r="C10" s="10">
        <v>2.9</v>
      </c>
      <c r="D10" s="10">
        <v>4.2</v>
      </c>
      <c r="E10" s="10">
        <v>2.05</v>
      </c>
      <c r="F10" s="14" t="s">
        <v>47</v>
      </c>
      <c r="G10" s="7" t="str">
        <f t="shared" si="1"/>
        <v>6</v>
      </c>
      <c r="H10" s="7" t="str">
        <f t="shared" si="2"/>
        <v>2</v>
      </c>
      <c r="I10" s="7">
        <f t="shared" si="3"/>
        <v>1</v>
      </c>
      <c r="J10" s="8">
        <f t="shared" si="4"/>
        <v>2.9</v>
      </c>
      <c r="K10" s="3" t="s">
        <v>48</v>
      </c>
      <c r="L10" s="3" t="s">
        <v>39</v>
      </c>
      <c r="M10" s="3" t="s">
        <v>28</v>
      </c>
      <c r="N10" s="3" t="s">
        <v>49</v>
      </c>
      <c r="O10" s="3" t="s">
        <v>50</v>
      </c>
      <c r="P10" s="3"/>
      <c r="Q10" s="3" t="s">
        <v>51</v>
      </c>
      <c r="R10" s="3" t="s">
        <v>38</v>
      </c>
      <c r="S10" s="3"/>
      <c r="T10" s="5"/>
      <c r="U10" s="5"/>
      <c r="V10" s="5"/>
      <c r="W10" s="5"/>
    </row>
    <row r="11">
      <c r="A11" s="9" t="s">
        <v>23</v>
      </c>
      <c r="B11" s="9" t="s">
        <v>52</v>
      </c>
      <c r="C11" s="10">
        <v>1.42</v>
      </c>
      <c r="D11" s="10">
        <v>5.25</v>
      </c>
      <c r="E11" s="10">
        <v>5.75</v>
      </c>
      <c r="F11" s="14" t="s">
        <v>43</v>
      </c>
      <c r="G11" s="7" t="str">
        <f t="shared" si="1"/>
        <v>2</v>
      </c>
      <c r="H11" s="7" t="str">
        <f t="shared" si="2"/>
        <v>2</v>
      </c>
      <c r="I11" s="7" t="str">
        <f t="shared" si="3"/>
        <v>x</v>
      </c>
      <c r="J11" s="8">
        <f t="shared" si="4"/>
        <v>5.25</v>
      </c>
      <c r="K11" s="3" t="s">
        <v>53</v>
      </c>
      <c r="L11" s="3" t="s">
        <v>30</v>
      </c>
      <c r="M11" s="3" t="s">
        <v>30</v>
      </c>
      <c r="N11" s="3" t="s">
        <v>53</v>
      </c>
      <c r="O11" s="3" t="s">
        <v>30</v>
      </c>
      <c r="P11" s="3"/>
      <c r="Q11" s="3" t="s">
        <v>54</v>
      </c>
      <c r="R11" s="3" t="s">
        <v>43</v>
      </c>
      <c r="S11" s="3"/>
      <c r="T11" s="5"/>
      <c r="U11" s="5"/>
      <c r="V11" s="5"/>
      <c r="W11" s="5"/>
    </row>
    <row r="12">
      <c r="A12" s="9" t="s">
        <v>55</v>
      </c>
      <c r="B12" s="9" t="s">
        <v>56</v>
      </c>
      <c r="C12" s="10">
        <v>2.25</v>
      </c>
      <c r="D12" s="10">
        <v>4.0</v>
      </c>
      <c r="E12" s="10">
        <v>2.65</v>
      </c>
      <c r="F12" s="14" t="s">
        <v>43</v>
      </c>
      <c r="G12" s="7" t="str">
        <f t="shared" si="1"/>
        <v>2</v>
      </c>
      <c r="H12" s="7" t="str">
        <f t="shared" si="2"/>
        <v>2</v>
      </c>
      <c r="I12" s="7" t="str">
        <f t="shared" si="3"/>
        <v>x</v>
      </c>
      <c r="J12" s="8">
        <f t="shared" si="4"/>
        <v>4</v>
      </c>
      <c r="K12" s="3" t="s">
        <v>39</v>
      </c>
      <c r="L12" s="3" t="s">
        <v>36</v>
      </c>
      <c r="M12" s="3" t="s">
        <v>44</v>
      </c>
      <c r="N12" s="3" t="s">
        <v>48</v>
      </c>
      <c r="O12" s="3" t="s">
        <v>57</v>
      </c>
      <c r="P12" s="3"/>
      <c r="Q12" s="3" t="s">
        <v>37</v>
      </c>
      <c r="R12" s="3" t="s">
        <v>43</v>
      </c>
      <c r="S12" s="3"/>
      <c r="T12" s="5"/>
      <c r="U12" s="5"/>
      <c r="V12" s="5"/>
      <c r="W12" s="5"/>
    </row>
    <row r="13">
      <c r="A13" s="9" t="s">
        <v>16</v>
      </c>
      <c r="B13" s="9" t="s">
        <v>58</v>
      </c>
      <c r="C13" s="10">
        <v>1.02</v>
      </c>
      <c r="D13" s="10">
        <v>17.0</v>
      </c>
      <c r="E13" s="10">
        <v>36.0</v>
      </c>
      <c r="F13" s="14" t="s">
        <v>59</v>
      </c>
      <c r="G13" s="7" t="str">
        <f t="shared" si="1"/>
        <v>8</v>
      </c>
      <c r="H13" s="7" t="str">
        <f t="shared" si="2"/>
        <v>1</v>
      </c>
      <c r="I13" s="7">
        <f t="shared" si="3"/>
        <v>1</v>
      </c>
      <c r="J13" s="8">
        <f t="shared" si="4"/>
        <v>1.02</v>
      </c>
      <c r="K13" s="3" t="s">
        <v>34</v>
      </c>
      <c r="L13" s="3" t="s">
        <v>27</v>
      </c>
      <c r="M13" s="3" t="s">
        <v>33</v>
      </c>
      <c r="N13" s="3" t="s">
        <v>60</v>
      </c>
      <c r="O13" s="3" t="s">
        <v>35</v>
      </c>
      <c r="P13" s="3"/>
      <c r="Q13" s="3" t="s">
        <v>25</v>
      </c>
      <c r="R13" s="3" t="s">
        <v>34</v>
      </c>
      <c r="S13" s="3"/>
      <c r="T13" s="5"/>
      <c r="U13" s="5"/>
      <c r="V13" s="5"/>
      <c r="W13" s="5"/>
    </row>
    <row r="14">
      <c r="A14" s="9" t="s">
        <v>42</v>
      </c>
      <c r="B14" s="9" t="s">
        <v>17</v>
      </c>
      <c r="C14" s="10">
        <v>7.0</v>
      </c>
      <c r="D14" s="10">
        <v>6.75</v>
      </c>
      <c r="E14" s="10">
        <v>1.28</v>
      </c>
      <c r="F14" s="14" t="s">
        <v>61</v>
      </c>
      <c r="G14" s="7" t="str">
        <f t="shared" si="1"/>
        <v>0</v>
      </c>
      <c r="H14" s="7" t="str">
        <f t="shared" si="2"/>
        <v>4</v>
      </c>
      <c r="I14" s="7">
        <f t="shared" si="3"/>
        <v>2</v>
      </c>
      <c r="J14" s="8">
        <f t="shared" si="4"/>
        <v>1.28</v>
      </c>
      <c r="K14" s="3" t="s">
        <v>62</v>
      </c>
      <c r="L14" s="3" t="s">
        <v>39</v>
      </c>
      <c r="M14" s="3" t="s">
        <v>39</v>
      </c>
      <c r="N14" s="3" t="s">
        <v>63</v>
      </c>
      <c r="O14" s="3" t="s">
        <v>39</v>
      </c>
      <c r="P14" s="3"/>
      <c r="Q14" s="3" t="s">
        <v>64</v>
      </c>
      <c r="R14" s="3" t="s">
        <v>62</v>
      </c>
      <c r="S14" s="3"/>
      <c r="T14" s="5"/>
      <c r="U14" s="5"/>
      <c r="V14" s="5"/>
      <c r="W14" s="5"/>
    </row>
    <row r="15">
      <c r="A15" s="9" t="s">
        <v>46</v>
      </c>
      <c r="B15" s="9" t="s">
        <v>18</v>
      </c>
      <c r="C15" s="10">
        <v>18.0</v>
      </c>
      <c r="D15" s="10">
        <v>14.0</v>
      </c>
      <c r="E15" s="10">
        <v>1.05</v>
      </c>
      <c r="F15" s="14" t="s">
        <v>65</v>
      </c>
      <c r="G15" s="7" t="str">
        <f t="shared" si="1"/>
        <v>0</v>
      </c>
      <c r="H15" s="7" t="str">
        <f t="shared" si="2"/>
        <v>7</v>
      </c>
      <c r="I15" s="7">
        <f t="shared" si="3"/>
        <v>2</v>
      </c>
      <c r="J15" s="8">
        <f t="shared" si="4"/>
        <v>1.05</v>
      </c>
      <c r="K15" s="3" t="s">
        <v>66</v>
      </c>
      <c r="L15" s="3" t="s">
        <v>67</v>
      </c>
      <c r="M15" s="3" t="s">
        <v>68</v>
      </c>
      <c r="N15" s="3" t="s">
        <v>69</v>
      </c>
      <c r="O15" s="3" t="s">
        <v>66</v>
      </c>
      <c r="P15" s="3"/>
      <c r="Q15" s="3" t="s">
        <v>61</v>
      </c>
      <c r="R15" s="3" t="s">
        <v>70</v>
      </c>
      <c r="S15" s="3"/>
      <c r="T15" s="5"/>
      <c r="U15" s="5"/>
      <c r="V15" s="5"/>
      <c r="W15" s="5"/>
    </row>
    <row r="16">
      <c r="A16" s="9" t="s">
        <v>15</v>
      </c>
      <c r="B16" s="9" t="s">
        <v>23</v>
      </c>
      <c r="C16" s="10">
        <v>2.15</v>
      </c>
      <c r="D16" s="10">
        <v>4.25</v>
      </c>
      <c r="E16" s="10">
        <v>2.7</v>
      </c>
      <c r="F16" s="14" t="s">
        <v>29</v>
      </c>
      <c r="G16" s="7" t="str">
        <f t="shared" si="1"/>
        <v>3</v>
      </c>
      <c r="H16" s="7" t="str">
        <f t="shared" si="2"/>
        <v>2</v>
      </c>
      <c r="I16" s="7">
        <f t="shared" si="3"/>
        <v>1</v>
      </c>
      <c r="J16" s="8">
        <f t="shared" si="4"/>
        <v>2.15</v>
      </c>
      <c r="K16" s="3" t="s">
        <v>30</v>
      </c>
      <c r="L16" s="3" t="s">
        <v>36</v>
      </c>
      <c r="M16" s="3" t="s">
        <v>30</v>
      </c>
      <c r="N16" s="3"/>
      <c r="O16" s="3" t="s">
        <v>28</v>
      </c>
      <c r="P16" s="3"/>
      <c r="Q16" s="3"/>
      <c r="R16" s="3"/>
      <c r="S16" s="3"/>
      <c r="T16" s="5"/>
      <c r="U16" s="5"/>
      <c r="V16" s="5"/>
      <c r="W16" s="5"/>
    </row>
    <row r="17">
      <c r="A17" s="9" t="s">
        <v>52</v>
      </c>
      <c r="B17" s="9" t="s">
        <v>45</v>
      </c>
      <c r="C17" s="10">
        <v>2.75</v>
      </c>
      <c r="D17" s="10">
        <v>4.25</v>
      </c>
      <c r="E17" s="10">
        <v>2.1</v>
      </c>
      <c r="F17" s="14" t="s">
        <v>50</v>
      </c>
      <c r="G17" s="7" t="str">
        <f t="shared" si="1"/>
        <v>0</v>
      </c>
      <c r="H17" s="7" t="str">
        <f t="shared" si="2"/>
        <v>2</v>
      </c>
      <c r="I17" s="7">
        <f t="shared" si="3"/>
        <v>2</v>
      </c>
      <c r="J17" s="8">
        <f t="shared" si="4"/>
        <v>2.1</v>
      </c>
      <c r="K17" s="3" t="s">
        <v>43</v>
      </c>
      <c r="L17" s="3" t="s">
        <v>39</v>
      </c>
      <c r="M17" s="3" t="s">
        <v>28</v>
      </c>
      <c r="N17" s="3"/>
      <c r="O17" s="3" t="s">
        <v>38</v>
      </c>
      <c r="P17" s="3"/>
      <c r="Q17" s="3" t="s">
        <v>29</v>
      </c>
      <c r="R17" s="3"/>
      <c r="S17" s="3"/>
      <c r="T17" s="5"/>
      <c r="U17" s="5"/>
      <c r="V17" s="5"/>
      <c r="W17" s="5"/>
    </row>
    <row r="18">
      <c r="A18" s="9" t="s">
        <v>58</v>
      </c>
      <c r="B18" s="9" t="s">
        <v>21</v>
      </c>
      <c r="C18" s="10">
        <v>35.0</v>
      </c>
      <c r="D18" s="10">
        <v>25.0</v>
      </c>
      <c r="E18" s="10">
        <v>1.01</v>
      </c>
      <c r="F18" s="14" t="s">
        <v>71</v>
      </c>
      <c r="G18" s="7" t="str">
        <f t="shared" si="1"/>
        <v>0</v>
      </c>
      <c r="H18" s="7" t="str">
        <f t="shared" si="2"/>
        <v>10</v>
      </c>
      <c r="I18" s="7">
        <f t="shared" si="3"/>
        <v>2</v>
      </c>
      <c r="J18" s="8">
        <f t="shared" si="4"/>
        <v>1.01</v>
      </c>
      <c r="K18" s="3" t="s">
        <v>65</v>
      </c>
      <c r="L18" s="3" t="s">
        <v>70</v>
      </c>
      <c r="M18" s="3" t="s">
        <v>72</v>
      </c>
      <c r="N18" s="3"/>
      <c r="O18" s="3" t="s">
        <v>73</v>
      </c>
      <c r="P18" s="3"/>
      <c r="Q18" s="3"/>
      <c r="R18" s="3"/>
      <c r="S18" s="3"/>
      <c r="T18" s="5"/>
      <c r="U18" s="5"/>
      <c r="V18" s="5"/>
      <c r="W18" s="5"/>
    </row>
    <row r="19">
      <c r="A19" s="9" t="s">
        <v>20</v>
      </c>
      <c r="B19" s="9" t="s">
        <v>55</v>
      </c>
      <c r="C19" s="10">
        <v>1.9</v>
      </c>
      <c r="D19" s="10">
        <v>4.4</v>
      </c>
      <c r="E19" s="10">
        <v>3.1</v>
      </c>
      <c r="F19" s="14" t="s">
        <v>37</v>
      </c>
      <c r="G19" s="7" t="str">
        <f t="shared" si="1"/>
        <v>4</v>
      </c>
      <c r="H19" s="7" t="str">
        <f t="shared" si="2"/>
        <v>4</v>
      </c>
      <c r="I19" s="7" t="str">
        <f t="shared" si="3"/>
        <v>x</v>
      </c>
      <c r="J19" s="8">
        <f t="shared" si="4"/>
        <v>4.4</v>
      </c>
      <c r="K19" s="3" t="s">
        <v>43</v>
      </c>
      <c r="L19" s="3" t="s">
        <v>53</v>
      </c>
      <c r="M19" s="3" t="s">
        <v>36</v>
      </c>
      <c r="N19" s="3"/>
      <c r="O19" s="3" t="s">
        <v>29</v>
      </c>
      <c r="P19" s="3"/>
      <c r="Q19" s="3"/>
      <c r="R19" s="3"/>
      <c r="S19" s="3"/>
      <c r="T19" s="5"/>
      <c r="U19" s="5"/>
      <c r="V19" s="5"/>
      <c r="W19" s="5"/>
    </row>
    <row r="20">
      <c r="A20" s="9" t="s">
        <v>56</v>
      </c>
      <c r="B20" s="9" t="s">
        <v>16</v>
      </c>
      <c r="C20" s="10">
        <v>8.5</v>
      </c>
      <c r="D20" s="10">
        <v>7.0</v>
      </c>
      <c r="E20" s="10">
        <v>1.22</v>
      </c>
      <c r="F20" s="14" t="s">
        <v>74</v>
      </c>
      <c r="G20" s="7" t="str">
        <f t="shared" si="1"/>
        <v>1</v>
      </c>
      <c r="H20" s="7" t="str">
        <f t="shared" si="2"/>
        <v>8</v>
      </c>
      <c r="I20" s="7">
        <f t="shared" si="3"/>
        <v>2</v>
      </c>
      <c r="J20" s="8">
        <f t="shared" si="4"/>
        <v>1.22</v>
      </c>
      <c r="K20" s="3" t="s">
        <v>39</v>
      </c>
      <c r="L20" s="3" t="s">
        <v>62</v>
      </c>
      <c r="M20" s="3" t="s">
        <v>64</v>
      </c>
      <c r="N20" s="3"/>
      <c r="O20" s="3" t="s">
        <v>38</v>
      </c>
      <c r="P20" s="3"/>
      <c r="Q20" s="3" t="s">
        <v>67</v>
      </c>
      <c r="R20" s="3"/>
      <c r="S20" s="3"/>
      <c r="T20" s="5"/>
      <c r="U20" s="5"/>
      <c r="V20" s="5"/>
      <c r="W20" s="5"/>
    </row>
    <row r="21">
      <c r="A21" s="9" t="s">
        <v>32</v>
      </c>
      <c r="B21" s="9" t="s">
        <v>18</v>
      </c>
      <c r="C21" s="10">
        <v>10.0</v>
      </c>
      <c r="D21" s="10">
        <v>9.0</v>
      </c>
      <c r="E21" s="10">
        <v>1.15</v>
      </c>
      <c r="F21" s="14" t="s">
        <v>66</v>
      </c>
      <c r="G21" s="7" t="str">
        <f t="shared" si="1"/>
        <v>0</v>
      </c>
      <c r="H21" s="7" t="str">
        <f t="shared" si="2"/>
        <v>6</v>
      </c>
      <c r="I21" s="7">
        <f t="shared" si="3"/>
        <v>2</v>
      </c>
      <c r="J21" s="8">
        <f t="shared" si="4"/>
        <v>1.15</v>
      </c>
      <c r="K21" s="3" t="s">
        <v>68</v>
      </c>
      <c r="L21" s="3" t="s">
        <v>72</v>
      </c>
      <c r="M21" s="3" t="s">
        <v>67</v>
      </c>
      <c r="N21" s="3" t="s">
        <v>70</v>
      </c>
      <c r="O21" s="3" t="s">
        <v>75</v>
      </c>
      <c r="P21" s="3"/>
      <c r="Q21" s="3" t="s">
        <v>64</v>
      </c>
      <c r="R21" s="3"/>
      <c r="S21" s="3"/>
      <c r="T21" s="5"/>
      <c r="U21" s="5"/>
      <c r="V21" s="5"/>
      <c r="W21" s="5"/>
    </row>
    <row r="22">
      <c r="A22" s="9" t="s">
        <v>15</v>
      </c>
      <c r="B22" s="9" t="s">
        <v>24</v>
      </c>
      <c r="C22" s="10">
        <v>1.09</v>
      </c>
      <c r="D22" s="10">
        <v>10.5</v>
      </c>
      <c r="E22" s="10">
        <v>18.0</v>
      </c>
      <c r="F22" s="14" t="s">
        <v>26</v>
      </c>
      <c r="G22" s="7" t="str">
        <f t="shared" si="1"/>
        <v>4</v>
      </c>
      <c r="H22" s="7" t="str">
        <f t="shared" si="2"/>
        <v>0</v>
      </c>
      <c r="I22" s="7">
        <f t="shared" si="3"/>
        <v>1</v>
      </c>
      <c r="J22" s="8">
        <f t="shared" si="4"/>
        <v>1.09</v>
      </c>
      <c r="K22" s="3" t="s">
        <v>43</v>
      </c>
      <c r="L22" s="3" t="s">
        <v>53</v>
      </c>
      <c r="M22" s="3" t="s">
        <v>31</v>
      </c>
      <c r="N22" s="3" t="s">
        <v>33</v>
      </c>
      <c r="O22" s="3" t="s">
        <v>26</v>
      </c>
      <c r="P22" s="3"/>
      <c r="Q22" s="3" t="s">
        <v>76</v>
      </c>
      <c r="R22" s="3"/>
      <c r="S22" s="3"/>
      <c r="T22" s="5"/>
      <c r="U22" s="5"/>
      <c r="V22" s="5"/>
      <c r="W22" s="5"/>
    </row>
    <row r="23">
      <c r="A23" s="9" t="s">
        <v>17</v>
      </c>
      <c r="B23" s="9" t="s">
        <v>20</v>
      </c>
      <c r="C23" s="10">
        <v>1.5</v>
      </c>
      <c r="D23" s="10">
        <v>5.0</v>
      </c>
      <c r="E23" s="10">
        <v>4.6</v>
      </c>
      <c r="F23" s="15" t="s">
        <v>35</v>
      </c>
      <c r="G23" s="7" t="str">
        <f t="shared" si="1"/>
        <v>3</v>
      </c>
      <c r="H23" s="7" t="str">
        <f t="shared" si="2"/>
        <v>0</v>
      </c>
      <c r="I23" s="7">
        <f t="shared" si="3"/>
        <v>1</v>
      </c>
      <c r="J23" s="8">
        <f t="shared" si="4"/>
        <v>1.5</v>
      </c>
      <c r="K23" s="3" t="s">
        <v>30</v>
      </c>
      <c r="L23" s="3" t="s">
        <v>29</v>
      </c>
      <c r="M23" s="3" t="s">
        <v>31</v>
      </c>
      <c r="N23" s="3" t="s">
        <v>30</v>
      </c>
      <c r="O23" s="3" t="s">
        <v>53</v>
      </c>
      <c r="P23" s="3"/>
      <c r="Q23" s="3" t="s">
        <v>30</v>
      </c>
      <c r="R23" s="3"/>
      <c r="S23" s="3"/>
      <c r="T23" s="5"/>
      <c r="U23" s="5"/>
      <c r="V23" s="5"/>
      <c r="W23" s="5"/>
    </row>
    <row r="24">
      <c r="A24" s="9" t="s">
        <v>21</v>
      </c>
      <c r="B24" s="9" t="s">
        <v>42</v>
      </c>
      <c r="C24" s="10">
        <v>1.11</v>
      </c>
      <c r="D24" s="10">
        <v>9.5</v>
      </c>
      <c r="E24" s="10">
        <v>14.0</v>
      </c>
      <c r="F24" s="15" t="s">
        <v>60</v>
      </c>
      <c r="G24" s="7" t="str">
        <f t="shared" si="1"/>
        <v>7</v>
      </c>
      <c r="H24" s="7" t="str">
        <f t="shared" si="2"/>
        <v>1</v>
      </c>
      <c r="I24" s="7">
        <f t="shared" si="3"/>
        <v>1</v>
      </c>
      <c r="J24" s="8">
        <f t="shared" si="4"/>
        <v>1.11</v>
      </c>
      <c r="K24" s="3" t="s">
        <v>27</v>
      </c>
      <c r="L24" s="3" t="s">
        <v>60</v>
      </c>
      <c r="M24" s="3" t="s">
        <v>31</v>
      </c>
      <c r="N24" s="3" t="s">
        <v>34</v>
      </c>
      <c r="O24" s="3" t="s">
        <v>27</v>
      </c>
      <c r="P24" s="3"/>
      <c r="Q24" s="3" t="s">
        <v>34</v>
      </c>
      <c r="R24" s="3"/>
      <c r="S24" s="3"/>
      <c r="T24" s="5"/>
      <c r="U24" s="5"/>
      <c r="V24" s="5"/>
      <c r="W24" s="5"/>
    </row>
    <row r="25">
      <c r="A25" s="9" t="s">
        <v>46</v>
      </c>
      <c r="B25" s="9" t="s">
        <v>52</v>
      </c>
      <c r="C25" s="10">
        <v>5.75</v>
      </c>
      <c r="D25" s="10">
        <v>5.75</v>
      </c>
      <c r="E25" s="10">
        <v>1.36</v>
      </c>
      <c r="F25" s="15" t="s">
        <v>39</v>
      </c>
      <c r="G25" s="7" t="str">
        <f t="shared" si="1"/>
        <v>2</v>
      </c>
      <c r="H25" s="7" t="str">
        <f t="shared" si="2"/>
        <v>4</v>
      </c>
      <c r="I25" s="7">
        <f t="shared" si="3"/>
        <v>2</v>
      </c>
      <c r="J25" s="8">
        <f t="shared" si="4"/>
        <v>1.36</v>
      </c>
      <c r="K25" s="3" t="s">
        <v>43</v>
      </c>
      <c r="L25" s="3" t="s">
        <v>54</v>
      </c>
      <c r="M25" s="3" t="s">
        <v>38</v>
      </c>
      <c r="N25" s="3" t="s">
        <v>40</v>
      </c>
      <c r="O25" s="3" t="s">
        <v>44</v>
      </c>
      <c r="P25" s="3"/>
      <c r="Q25" s="3" t="s">
        <v>64</v>
      </c>
      <c r="R25" s="3"/>
      <c r="S25" s="3"/>
      <c r="T25" s="5"/>
      <c r="U25" s="5"/>
      <c r="V25" s="5"/>
      <c r="W25" s="5"/>
    </row>
    <row r="26">
      <c r="A26" s="9" t="s">
        <v>23</v>
      </c>
      <c r="B26" s="9" t="s">
        <v>45</v>
      </c>
      <c r="C26" s="10">
        <v>1.72</v>
      </c>
      <c r="D26" s="10">
        <v>4.5</v>
      </c>
      <c r="E26" s="10">
        <v>3.6</v>
      </c>
      <c r="F26" s="15" t="s">
        <v>37</v>
      </c>
      <c r="G26" s="7" t="str">
        <f t="shared" si="1"/>
        <v>4</v>
      </c>
      <c r="H26" s="7" t="str">
        <f t="shared" si="2"/>
        <v>4</v>
      </c>
      <c r="I26" s="7" t="str">
        <f t="shared" si="3"/>
        <v>x</v>
      </c>
      <c r="J26" s="8">
        <f t="shared" si="4"/>
        <v>4.5</v>
      </c>
      <c r="K26" s="3" t="s">
        <v>53</v>
      </c>
      <c r="L26" s="3" t="s">
        <v>43</v>
      </c>
      <c r="M26" s="3" t="s">
        <v>36</v>
      </c>
      <c r="N26" s="3" t="s">
        <v>29</v>
      </c>
      <c r="O26" s="3" t="s">
        <v>43</v>
      </c>
      <c r="P26" s="3"/>
      <c r="Q26" s="3" t="s">
        <v>28</v>
      </c>
      <c r="R26" s="3"/>
      <c r="S26" s="3"/>
      <c r="T26" s="5"/>
      <c r="U26" s="5"/>
      <c r="V26" s="5"/>
      <c r="W26" s="5"/>
    </row>
    <row r="27">
      <c r="A27" s="9" t="s">
        <v>58</v>
      </c>
      <c r="B27" s="9" t="s">
        <v>56</v>
      </c>
      <c r="C27" s="10">
        <v>5.2</v>
      </c>
      <c r="D27" s="10">
        <v>5.7</v>
      </c>
      <c r="E27" s="10">
        <v>1.4</v>
      </c>
      <c r="F27" s="15" t="s">
        <v>68</v>
      </c>
      <c r="G27" s="7" t="str">
        <f t="shared" si="1"/>
        <v>0</v>
      </c>
      <c r="H27" s="7" t="str">
        <f t="shared" si="2"/>
        <v>5</v>
      </c>
      <c r="I27" s="7">
        <f t="shared" si="3"/>
        <v>2</v>
      </c>
      <c r="J27" s="8">
        <f t="shared" si="4"/>
        <v>1.4</v>
      </c>
      <c r="K27" s="3" t="s">
        <v>69</v>
      </c>
      <c r="L27" s="3" t="s">
        <v>62</v>
      </c>
      <c r="M27" s="3" t="s">
        <v>63</v>
      </c>
      <c r="N27" s="3" t="s">
        <v>62</v>
      </c>
      <c r="O27" s="3" t="s">
        <v>38</v>
      </c>
      <c r="P27" s="3"/>
      <c r="Q27" s="3" t="s">
        <v>44</v>
      </c>
      <c r="R27" s="3"/>
      <c r="S27" s="3"/>
      <c r="T27" s="5"/>
      <c r="U27" s="5"/>
      <c r="V27" s="5"/>
      <c r="W27" s="5"/>
    </row>
    <row r="28">
      <c r="A28" s="9" t="s">
        <v>16</v>
      </c>
      <c r="B28" s="9" t="s">
        <v>55</v>
      </c>
      <c r="C28" s="10">
        <v>1.33</v>
      </c>
      <c r="D28" s="10">
        <v>6.0</v>
      </c>
      <c r="E28" s="10">
        <v>6.25</v>
      </c>
      <c r="F28" s="15" t="s">
        <v>25</v>
      </c>
      <c r="G28" s="7" t="str">
        <f t="shared" si="1"/>
        <v>7</v>
      </c>
      <c r="H28" s="7" t="str">
        <f t="shared" si="2"/>
        <v>0</v>
      </c>
      <c r="I28" s="7">
        <f t="shared" si="3"/>
        <v>1</v>
      </c>
      <c r="J28" s="8">
        <f t="shared" si="4"/>
        <v>1.33</v>
      </c>
      <c r="K28" s="3" t="s">
        <v>34</v>
      </c>
      <c r="L28" s="3" t="s">
        <v>76</v>
      </c>
      <c r="M28" s="3" t="s">
        <v>35</v>
      </c>
      <c r="N28" s="3" t="s">
        <v>31</v>
      </c>
      <c r="O28" s="3" t="s">
        <v>27</v>
      </c>
      <c r="P28" s="3"/>
      <c r="Q28" s="3" t="s">
        <v>33</v>
      </c>
      <c r="R28" s="3"/>
      <c r="S28" s="3"/>
      <c r="T28" s="5"/>
      <c r="U28" s="5"/>
      <c r="V28" s="5"/>
      <c r="W28" s="5"/>
    </row>
    <row r="29">
      <c r="A29" s="9" t="s">
        <v>45</v>
      </c>
      <c r="B29" s="9" t="s">
        <v>32</v>
      </c>
      <c r="C29" s="10">
        <v>1.7</v>
      </c>
      <c r="D29" s="10">
        <v>4.5</v>
      </c>
      <c r="E29" s="10">
        <v>3.7</v>
      </c>
      <c r="F29" s="15" t="s">
        <v>31</v>
      </c>
      <c r="G29" s="7" t="str">
        <f t="shared" si="1"/>
        <v>5</v>
      </c>
      <c r="H29" s="7" t="str">
        <f t="shared" si="2"/>
        <v>2</v>
      </c>
      <c r="I29" s="7">
        <f t="shared" si="3"/>
        <v>1</v>
      </c>
      <c r="J29" s="8">
        <f t="shared" si="4"/>
        <v>1.7</v>
      </c>
      <c r="K29" s="3" t="s">
        <v>30</v>
      </c>
      <c r="L29" s="3" t="s">
        <v>76</v>
      </c>
      <c r="M29" s="3" t="s">
        <v>29</v>
      </c>
      <c r="N29" s="3" t="s">
        <v>30</v>
      </c>
      <c r="O29" s="3" t="s">
        <v>41</v>
      </c>
      <c r="P29" s="3"/>
      <c r="Q29" s="3" t="s">
        <v>43</v>
      </c>
      <c r="R29" s="3"/>
      <c r="S29" s="3"/>
      <c r="T29" s="5"/>
      <c r="U29" s="5"/>
      <c r="V29" s="5"/>
      <c r="W29" s="5"/>
    </row>
    <row r="30">
      <c r="A30" s="9" t="s">
        <v>15</v>
      </c>
      <c r="B30" s="9" t="s">
        <v>46</v>
      </c>
      <c r="C30" s="10">
        <v>1.05</v>
      </c>
      <c r="D30" s="10">
        <v>14.0</v>
      </c>
      <c r="E30" s="10">
        <v>18.0</v>
      </c>
      <c r="F30" s="15" t="s">
        <v>25</v>
      </c>
      <c r="G30" s="7" t="str">
        <f t="shared" si="1"/>
        <v>7</v>
      </c>
      <c r="H30" s="7" t="str">
        <f t="shared" si="2"/>
        <v>0</v>
      </c>
      <c r="I30" s="7">
        <f t="shared" si="3"/>
        <v>1</v>
      </c>
      <c r="J30" s="8">
        <f t="shared" si="4"/>
        <v>1.05</v>
      </c>
      <c r="K30" s="3" t="s">
        <v>34</v>
      </c>
      <c r="L30" s="3" t="s">
        <v>60</v>
      </c>
      <c r="M30" s="3" t="s">
        <v>30</v>
      </c>
      <c r="N30" s="3" t="s">
        <v>33</v>
      </c>
      <c r="O30" s="3" t="s">
        <v>33</v>
      </c>
      <c r="P30" s="3"/>
      <c r="Q30" s="3" t="s">
        <v>26</v>
      </c>
      <c r="R30" s="3"/>
      <c r="S30" s="3"/>
      <c r="T30" s="5"/>
      <c r="U30" s="5"/>
      <c r="V30" s="5"/>
      <c r="W30" s="5"/>
    </row>
    <row r="31">
      <c r="A31" s="9" t="s">
        <v>20</v>
      </c>
      <c r="B31" s="9" t="s">
        <v>58</v>
      </c>
      <c r="C31" s="10">
        <v>1.22</v>
      </c>
      <c r="D31" s="10">
        <v>7.0</v>
      </c>
      <c r="E31" s="10">
        <v>8.5</v>
      </c>
      <c r="F31" s="15" t="s">
        <v>76</v>
      </c>
      <c r="G31" s="7" t="str">
        <f t="shared" si="1"/>
        <v>6</v>
      </c>
      <c r="H31" s="7" t="str">
        <f t="shared" si="2"/>
        <v>1</v>
      </c>
      <c r="I31" s="7">
        <f t="shared" si="3"/>
        <v>1</v>
      </c>
      <c r="J31" s="8">
        <f t="shared" si="4"/>
        <v>1.22</v>
      </c>
      <c r="K31" s="3" t="s">
        <v>34</v>
      </c>
      <c r="L31" s="3" t="s">
        <v>34</v>
      </c>
      <c r="M31" s="3" t="s">
        <v>77</v>
      </c>
      <c r="N31" s="3" t="s">
        <v>35</v>
      </c>
      <c r="O31" s="3" t="s">
        <v>27</v>
      </c>
      <c r="P31" s="3"/>
      <c r="Q31" s="3" t="s">
        <v>35</v>
      </c>
      <c r="R31" s="3"/>
      <c r="S31" s="3"/>
      <c r="T31" s="5"/>
      <c r="U31" s="5"/>
      <c r="V31" s="5"/>
      <c r="W31" s="5"/>
    </row>
    <row r="32">
      <c r="A32" s="9" t="s">
        <v>16</v>
      </c>
      <c r="B32" s="9" t="s">
        <v>42</v>
      </c>
      <c r="C32" s="10">
        <v>1.33</v>
      </c>
      <c r="D32" s="10">
        <v>6.0</v>
      </c>
      <c r="E32" s="10">
        <v>6.0</v>
      </c>
      <c r="F32" s="15" t="s">
        <v>36</v>
      </c>
      <c r="G32" s="7" t="str">
        <f t="shared" si="1"/>
        <v>2</v>
      </c>
      <c r="H32" s="7" t="str">
        <f t="shared" si="2"/>
        <v>3</v>
      </c>
      <c r="I32" s="7">
        <f t="shared" si="3"/>
        <v>2</v>
      </c>
      <c r="J32" s="8">
        <f t="shared" si="4"/>
        <v>6</v>
      </c>
      <c r="K32" s="3" t="s">
        <v>26</v>
      </c>
      <c r="L32" s="3" t="s">
        <v>59</v>
      </c>
      <c r="M32" s="3" t="s">
        <v>53</v>
      </c>
      <c r="N32" s="3" t="s">
        <v>35</v>
      </c>
      <c r="O32" s="3" t="s">
        <v>53</v>
      </c>
      <c r="P32" s="3"/>
      <c r="Q32" s="3" t="s">
        <v>53</v>
      </c>
      <c r="R32" s="3"/>
      <c r="S32" s="3"/>
      <c r="T32" s="5"/>
      <c r="U32" s="5"/>
      <c r="V32" s="5"/>
      <c r="W32" s="5"/>
    </row>
    <row r="33">
      <c r="A33" s="9" t="s">
        <v>52</v>
      </c>
      <c r="B33" s="9" t="s">
        <v>24</v>
      </c>
      <c r="C33" s="10">
        <v>1.65</v>
      </c>
      <c r="D33" s="10">
        <v>4.6</v>
      </c>
      <c r="E33" s="10">
        <v>3.95</v>
      </c>
      <c r="F33" s="15" t="s">
        <v>28</v>
      </c>
      <c r="G33" s="7" t="str">
        <f t="shared" si="1"/>
        <v>3</v>
      </c>
      <c r="H33" s="7" t="str">
        <f t="shared" si="2"/>
        <v>1</v>
      </c>
      <c r="I33" s="7">
        <f t="shared" si="3"/>
        <v>1</v>
      </c>
      <c r="J33" s="8">
        <f t="shared" si="4"/>
        <v>1.65</v>
      </c>
      <c r="K33" s="3" t="s">
        <v>39</v>
      </c>
      <c r="L33" s="3" t="s">
        <v>36</v>
      </c>
      <c r="M33" s="3" t="s">
        <v>28</v>
      </c>
      <c r="N33" s="3" t="s">
        <v>53</v>
      </c>
      <c r="O33" s="3" t="s">
        <v>43</v>
      </c>
      <c r="P33" s="3"/>
      <c r="Q33" s="3" t="s">
        <v>29</v>
      </c>
      <c r="R33" s="3"/>
      <c r="S33" s="3"/>
      <c r="T33" s="5"/>
      <c r="U33" s="5"/>
      <c r="V33" s="5"/>
      <c r="W33" s="5"/>
    </row>
    <row r="34">
      <c r="A34" s="9" t="s">
        <v>23</v>
      </c>
      <c r="B34" s="9" t="s">
        <v>18</v>
      </c>
      <c r="C34" s="10">
        <v>2.85</v>
      </c>
      <c r="D34" s="10">
        <v>4.25</v>
      </c>
      <c r="E34" s="10">
        <v>2.05</v>
      </c>
      <c r="F34" s="15" t="s">
        <v>41</v>
      </c>
      <c r="G34" s="7" t="str">
        <f t="shared" si="1"/>
        <v>3</v>
      </c>
      <c r="H34" s="7" t="str">
        <f t="shared" si="2"/>
        <v>3</v>
      </c>
      <c r="I34" s="7" t="str">
        <f t="shared" si="3"/>
        <v>x</v>
      </c>
      <c r="J34" s="8">
        <f t="shared" si="4"/>
        <v>4.25</v>
      </c>
      <c r="K34" s="3" t="s">
        <v>43</v>
      </c>
      <c r="L34" s="3" t="s">
        <v>57</v>
      </c>
      <c r="M34" s="3" t="s">
        <v>64</v>
      </c>
      <c r="N34" s="3" t="s">
        <v>29</v>
      </c>
      <c r="O34" s="3" t="s">
        <v>39</v>
      </c>
      <c r="P34" s="3"/>
      <c r="Q34" s="3" t="s">
        <v>39</v>
      </c>
      <c r="R34" s="3"/>
      <c r="S34" s="3"/>
      <c r="T34" s="5"/>
      <c r="U34" s="5"/>
      <c r="V34" s="5"/>
      <c r="W34" s="5"/>
    </row>
    <row r="35">
      <c r="A35" s="9" t="s">
        <v>17</v>
      </c>
      <c r="B35" s="9" t="s">
        <v>56</v>
      </c>
      <c r="C35" s="10">
        <v>1.25</v>
      </c>
      <c r="D35" s="10">
        <v>7.2</v>
      </c>
      <c r="E35" s="10">
        <v>7.0</v>
      </c>
      <c r="F35" s="15" t="s">
        <v>43</v>
      </c>
      <c r="G35" s="7" t="str">
        <f t="shared" si="1"/>
        <v>2</v>
      </c>
      <c r="H35" s="7" t="str">
        <f t="shared" si="2"/>
        <v>2</v>
      </c>
      <c r="I35" s="7" t="str">
        <f t="shared" si="3"/>
        <v>x</v>
      </c>
      <c r="J35" s="8">
        <f t="shared" si="4"/>
        <v>7.2</v>
      </c>
      <c r="K35" s="3" t="s">
        <v>76</v>
      </c>
      <c r="L35" s="3" t="s">
        <v>31</v>
      </c>
      <c r="M35" s="3" t="s">
        <v>35</v>
      </c>
      <c r="N35" s="3" t="s">
        <v>60</v>
      </c>
      <c r="O35" s="3" t="s">
        <v>27</v>
      </c>
      <c r="P35" s="3"/>
      <c r="Q35" s="3" t="s">
        <v>78</v>
      </c>
      <c r="R35" s="3"/>
      <c r="S35" s="3"/>
      <c r="T35" s="5"/>
      <c r="U35" s="5"/>
      <c r="V35" s="5"/>
      <c r="W35" s="5"/>
    </row>
    <row r="36">
      <c r="A36" s="9" t="s">
        <v>55</v>
      </c>
      <c r="B36" s="9" t="s">
        <v>21</v>
      </c>
      <c r="C36" s="10">
        <v>14.0</v>
      </c>
      <c r="D36" s="10">
        <v>10.0</v>
      </c>
      <c r="E36" s="10">
        <v>1.1</v>
      </c>
      <c r="F36" s="15" t="s">
        <v>68</v>
      </c>
      <c r="G36" s="7" t="str">
        <f t="shared" si="1"/>
        <v>0</v>
      </c>
      <c r="H36" s="7" t="str">
        <f t="shared" si="2"/>
        <v>5</v>
      </c>
      <c r="I36" s="7">
        <f t="shared" si="3"/>
        <v>2</v>
      </c>
      <c r="J36" s="8">
        <f t="shared" si="4"/>
        <v>1.1</v>
      </c>
      <c r="K36" s="3" t="s">
        <v>69</v>
      </c>
      <c r="L36" s="3" t="s">
        <v>70</v>
      </c>
      <c r="M36" s="3" t="s">
        <v>68</v>
      </c>
      <c r="N36" s="3" t="s">
        <v>38</v>
      </c>
      <c r="O36" s="3" t="s">
        <v>70</v>
      </c>
      <c r="P36" s="3"/>
      <c r="Q36" s="3" t="s">
        <v>70</v>
      </c>
      <c r="R36" s="3"/>
      <c r="S36" s="3"/>
      <c r="T36" s="5"/>
      <c r="U36" s="5"/>
      <c r="V36" s="5"/>
      <c r="W36" s="5"/>
    </row>
    <row r="37">
      <c r="A37" s="9" t="s">
        <v>24</v>
      </c>
      <c r="B37" s="9" t="s">
        <v>46</v>
      </c>
      <c r="C37" s="10">
        <v>1.75</v>
      </c>
      <c r="D37" s="10">
        <v>4.5</v>
      </c>
      <c r="E37" s="10">
        <v>3.5</v>
      </c>
      <c r="F37" s="15" t="s">
        <v>31</v>
      </c>
      <c r="G37" s="7" t="str">
        <f t="shared" si="1"/>
        <v>5</v>
      </c>
      <c r="H37" s="7" t="str">
        <f t="shared" si="2"/>
        <v>2</v>
      </c>
      <c r="I37" s="7">
        <f t="shared" si="3"/>
        <v>1</v>
      </c>
      <c r="J37" s="8">
        <f t="shared" si="4"/>
        <v>1.75</v>
      </c>
      <c r="K37" s="3" t="s">
        <v>41</v>
      </c>
      <c r="L37" s="3" t="s">
        <v>53</v>
      </c>
      <c r="M37" s="3" t="s">
        <v>43</v>
      </c>
      <c r="N37" s="3" t="s">
        <v>54</v>
      </c>
      <c r="O37" s="3" t="s">
        <v>41</v>
      </c>
      <c r="P37" s="3"/>
      <c r="Q37" s="3" t="s">
        <v>43</v>
      </c>
      <c r="R37" s="3"/>
      <c r="S37" s="3"/>
      <c r="T37" s="5"/>
      <c r="U37" s="5"/>
      <c r="V37" s="5"/>
      <c r="W37" s="5"/>
    </row>
    <row r="38">
      <c r="A38" s="9" t="s">
        <v>32</v>
      </c>
      <c r="B38" s="9" t="s">
        <v>23</v>
      </c>
      <c r="C38" s="10">
        <v>7.0</v>
      </c>
      <c r="D38" s="10">
        <v>7.2</v>
      </c>
      <c r="E38" s="10">
        <v>1.25</v>
      </c>
      <c r="F38" s="15" t="s">
        <v>63</v>
      </c>
      <c r="G38" s="7" t="str">
        <f t="shared" si="1"/>
        <v>0</v>
      </c>
      <c r="H38" s="7" t="str">
        <f t="shared" si="2"/>
        <v>3</v>
      </c>
      <c r="I38" s="7">
        <f t="shared" si="3"/>
        <v>2</v>
      </c>
      <c r="J38" s="8">
        <f t="shared" si="4"/>
        <v>1.25</v>
      </c>
      <c r="K38" s="3" t="s">
        <v>41</v>
      </c>
      <c r="L38" s="3" t="s">
        <v>75</v>
      </c>
      <c r="M38" s="3" t="s">
        <v>36</v>
      </c>
      <c r="N38" s="3" t="s">
        <v>62</v>
      </c>
      <c r="O38" s="3" t="s">
        <v>64</v>
      </c>
      <c r="P38" s="3"/>
      <c r="Q38" s="3" t="s">
        <v>62</v>
      </c>
      <c r="R38" s="3"/>
      <c r="S38" s="3"/>
      <c r="T38" s="5"/>
      <c r="U38" s="5"/>
      <c r="V38" s="5"/>
      <c r="W38" s="5"/>
    </row>
    <row r="39">
      <c r="A39" s="9" t="s">
        <v>42</v>
      </c>
      <c r="B39" s="9" t="s">
        <v>55</v>
      </c>
      <c r="C39" s="10">
        <v>2.1</v>
      </c>
      <c r="D39" s="10">
        <v>4.25</v>
      </c>
      <c r="E39" s="10">
        <v>2.7</v>
      </c>
      <c r="F39" s="16" t="s">
        <v>35</v>
      </c>
      <c r="G39" s="7" t="str">
        <f t="shared" si="1"/>
        <v>3</v>
      </c>
      <c r="H39" s="7" t="str">
        <f t="shared" si="2"/>
        <v>0</v>
      </c>
      <c r="I39" s="7">
        <f t="shared" si="3"/>
        <v>1</v>
      </c>
      <c r="J39" s="8">
        <f t="shared" si="4"/>
        <v>2.1</v>
      </c>
      <c r="K39" s="3" t="s">
        <v>41</v>
      </c>
      <c r="L39" s="3" t="s">
        <v>39</v>
      </c>
      <c r="M39" s="3" t="s">
        <v>43</v>
      </c>
      <c r="N39" s="3" t="s">
        <v>40</v>
      </c>
      <c r="O39" s="3" t="s">
        <v>29</v>
      </c>
      <c r="P39" s="3"/>
      <c r="Q39" s="3" t="s">
        <v>48</v>
      </c>
      <c r="R39" s="3"/>
      <c r="S39" s="3"/>
      <c r="T39" s="5"/>
      <c r="U39" s="5"/>
      <c r="V39" s="5"/>
      <c r="W39" s="5"/>
    </row>
    <row r="40">
      <c r="A40" s="9" t="s">
        <v>17</v>
      </c>
      <c r="B40" s="9" t="s">
        <v>58</v>
      </c>
      <c r="C40" s="10">
        <v>1.04</v>
      </c>
      <c r="D40" s="10">
        <v>15.0</v>
      </c>
      <c r="E40" s="10">
        <v>20.0</v>
      </c>
      <c r="F40" s="16" t="s">
        <v>79</v>
      </c>
      <c r="G40" s="7" t="str">
        <f t="shared" si="1"/>
        <v>13</v>
      </c>
      <c r="H40" s="7" t="str">
        <f t="shared" si="2"/>
        <v>1</v>
      </c>
      <c r="I40" s="7">
        <f t="shared" si="3"/>
        <v>1</v>
      </c>
      <c r="J40" s="8">
        <f t="shared" si="4"/>
        <v>1.04</v>
      </c>
      <c r="K40" s="3" t="s">
        <v>25</v>
      </c>
      <c r="L40" s="3" t="s">
        <v>80</v>
      </c>
      <c r="M40" s="3" t="s">
        <v>34</v>
      </c>
      <c r="N40" s="3" t="s">
        <v>34</v>
      </c>
      <c r="O40" s="3" t="s">
        <v>34</v>
      </c>
      <c r="P40" s="3"/>
      <c r="Q40" s="3" t="s">
        <v>59</v>
      </c>
      <c r="R40" s="3"/>
      <c r="S40" s="3"/>
      <c r="T40" s="5"/>
      <c r="U40" s="5"/>
      <c r="V40" s="5"/>
      <c r="W40" s="5"/>
    </row>
    <row r="41">
      <c r="A41" s="9" t="s">
        <v>52</v>
      </c>
      <c r="B41" s="9" t="s">
        <v>15</v>
      </c>
      <c r="C41" s="10">
        <v>7.0</v>
      </c>
      <c r="D41" s="10">
        <v>7.2</v>
      </c>
      <c r="E41" s="10">
        <v>1.25</v>
      </c>
      <c r="F41" s="16" t="s">
        <v>41</v>
      </c>
      <c r="G41" s="7" t="str">
        <f t="shared" si="1"/>
        <v>3</v>
      </c>
      <c r="H41" s="7" t="str">
        <f t="shared" si="2"/>
        <v>3</v>
      </c>
      <c r="I41" s="7" t="str">
        <f t="shared" si="3"/>
        <v>x</v>
      </c>
      <c r="J41" s="8">
        <f t="shared" si="4"/>
        <v>7.2</v>
      </c>
      <c r="K41" s="3" t="s">
        <v>69</v>
      </c>
      <c r="L41" s="3" t="s">
        <v>68</v>
      </c>
      <c r="M41" s="3" t="s">
        <v>39</v>
      </c>
      <c r="N41" s="3" t="s">
        <v>68</v>
      </c>
      <c r="O41" s="3" t="s">
        <v>69</v>
      </c>
      <c r="P41" s="3"/>
      <c r="Q41" s="3" t="s">
        <v>57</v>
      </c>
      <c r="R41" s="3"/>
      <c r="S41" s="3"/>
      <c r="T41" s="5"/>
      <c r="U41" s="5"/>
      <c r="V41" s="5"/>
      <c r="W41" s="5"/>
    </row>
    <row r="42">
      <c r="A42" s="9" t="s">
        <v>46</v>
      </c>
      <c r="B42" s="9" t="s">
        <v>32</v>
      </c>
      <c r="C42" s="10">
        <v>3.6</v>
      </c>
      <c r="D42" s="10">
        <v>4.6</v>
      </c>
      <c r="E42" s="10">
        <v>1.7</v>
      </c>
      <c r="F42" s="16" t="s">
        <v>26</v>
      </c>
      <c r="G42" s="7" t="str">
        <f t="shared" si="1"/>
        <v>4</v>
      </c>
      <c r="H42" s="7" t="str">
        <f t="shared" si="2"/>
        <v>0</v>
      </c>
      <c r="I42" s="7">
        <f t="shared" si="3"/>
        <v>1</v>
      </c>
      <c r="J42" s="8">
        <f t="shared" si="4"/>
        <v>3.6</v>
      </c>
      <c r="K42" s="3" t="s">
        <v>43</v>
      </c>
      <c r="L42" s="3" t="s">
        <v>43</v>
      </c>
      <c r="M42" s="3" t="s">
        <v>29</v>
      </c>
      <c r="N42" s="3" t="s">
        <v>36</v>
      </c>
      <c r="O42" s="3" t="s">
        <v>41</v>
      </c>
      <c r="P42" s="3"/>
      <c r="Q42" s="3" t="s">
        <v>40</v>
      </c>
      <c r="R42" s="3"/>
      <c r="S42" s="3"/>
      <c r="T42" s="5"/>
      <c r="U42" s="5"/>
      <c r="V42" s="5"/>
      <c r="W42" s="5"/>
    </row>
    <row r="43">
      <c r="A43" s="9" t="s">
        <v>18</v>
      </c>
      <c r="B43" s="9" t="s">
        <v>45</v>
      </c>
      <c r="C43" s="10">
        <v>1.33</v>
      </c>
      <c r="D43" s="10">
        <v>6.2</v>
      </c>
      <c r="E43" s="10">
        <v>6.0</v>
      </c>
      <c r="F43" s="16" t="s">
        <v>54</v>
      </c>
      <c r="G43" s="7" t="str">
        <f t="shared" si="1"/>
        <v>4</v>
      </c>
      <c r="H43" s="7" t="str">
        <f t="shared" si="2"/>
        <v>3</v>
      </c>
      <c r="I43" s="7">
        <f t="shared" si="3"/>
        <v>1</v>
      </c>
      <c r="J43" s="8">
        <f t="shared" si="4"/>
        <v>1.33</v>
      </c>
      <c r="K43" s="3" t="s">
        <v>30</v>
      </c>
      <c r="L43" s="3" t="s">
        <v>41</v>
      </c>
      <c r="M43" s="3" t="s">
        <v>31</v>
      </c>
      <c r="N43" s="3" t="s">
        <v>41</v>
      </c>
      <c r="O43" s="3" t="s">
        <v>53</v>
      </c>
      <c r="P43" s="3"/>
      <c r="Q43" s="3" t="s">
        <v>26</v>
      </c>
      <c r="R43" s="3"/>
      <c r="S43" s="3"/>
      <c r="T43" s="5"/>
      <c r="U43" s="5"/>
      <c r="V43" s="5"/>
      <c r="W43" s="5"/>
    </row>
    <row r="44">
      <c r="A44" s="9" t="s">
        <v>56</v>
      </c>
      <c r="B44" s="9" t="s">
        <v>20</v>
      </c>
      <c r="C44" s="10">
        <v>3.25</v>
      </c>
      <c r="D44" s="10">
        <v>4.4</v>
      </c>
      <c r="E44" s="10">
        <v>1.85</v>
      </c>
      <c r="F44" s="16" t="s">
        <v>28</v>
      </c>
      <c r="G44" s="7" t="str">
        <f t="shared" si="1"/>
        <v>3</v>
      </c>
      <c r="H44" s="7" t="str">
        <f t="shared" si="2"/>
        <v>1</v>
      </c>
      <c r="I44" s="7">
        <f t="shared" si="3"/>
        <v>1</v>
      </c>
      <c r="J44" s="8">
        <f t="shared" si="4"/>
        <v>3.25</v>
      </c>
      <c r="K44" s="3" t="s">
        <v>29</v>
      </c>
      <c r="L44" s="3" t="s">
        <v>43</v>
      </c>
      <c r="M44" s="3" t="s">
        <v>38</v>
      </c>
      <c r="N44" s="3" t="s">
        <v>43</v>
      </c>
      <c r="O44" s="3" t="s">
        <v>43</v>
      </c>
      <c r="P44" s="3"/>
      <c r="Q44" s="3" t="s">
        <v>51</v>
      </c>
      <c r="R44" s="3"/>
      <c r="S44" s="3"/>
      <c r="T44" s="5"/>
      <c r="U44" s="5"/>
      <c r="V44" s="5"/>
      <c r="W44" s="5"/>
    </row>
    <row r="45">
      <c r="A45" s="9" t="s">
        <v>42</v>
      </c>
      <c r="B45" s="9" t="s">
        <v>58</v>
      </c>
      <c r="C45" s="10">
        <v>1.2</v>
      </c>
      <c r="D45" s="10">
        <v>8.0</v>
      </c>
      <c r="E45" s="10">
        <v>8.5</v>
      </c>
      <c r="F45" s="16" t="s">
        <v>28</v>
      </c>
      <c r="G45" s="7" t="str">
        <f t="shared" si="1"/>
        <v>3</v>
      </c>
      <c r="H45" s="7" t="str">
        <f t="shared" si="2"/>
        <v>1</v>
      </c>
      <c r="I45" s="7">
        <f t="shared" si="3"/>
        <v>1</v>
      </c>
      <c r="J45" s="8">
        <f t="shared" si="4"/>
        <v>1.2</v>
      </c>
      <c r="K45" s="3" t="s">
        <v>30</v>
      </c>
      <c r="L45" s="3" t="s">
        <v>33</v>
      </c>
      <c r="M45" s="3" t="s">
        <v>53</v>
      </c>
      <c r="N45" s="3" t="s">
        <v>30</v>
      </c>
      <c r="O45" s="3" t="s">
        <v>76</v>
      </c>
      <c r="P45" s="3"/>
      <c r="Q45" s="3" t="s">
        <v>40</v>
      </c>
      <c r="R45" s="3"/>
      <c r="S45" s="3"/>
      <c r="T45" s="5"/>
      <c r="U45" s="5"/>
      <c r="V45" s="5"/>
      <c r="W45" s="5"/>
    </row>
    <row r="46">
      <c r="A46" s="9" t="s">
        <v>21</v>
      </c>
      <c r="B46" s="9" t="s">
        <v>16</v>
      </c>
      <c r="C46" s="10">
        <v>1.65</v>
      </c>
      <c r="D46" s="10">
        <v>4.6</v>
      </c>
      <c r="E46" s="10">
        <v>3.85</v>
      </c>
      <c r="F46" s="16" t="s">
        <v>69</v>
      </c>
      <c r="G46" s="7" t="str">
        <f t="shared" si="1"/>
        <v>1</v>
      </c>
      <c r="H46" s="7" t="str">
        <f t="shared" si="2"/>
        <v>5</v>
      </c>
      <c r="I46" s="7">
        <f t="shared" si="3"/>
        <v>2</v>
      </c>
      <c r="J46" s="8">
        <f t="shared" si="4"/>
        <v>3.85</v>
      </c>
      <c r="K46" s="3" t="s">
        <v>41</v>
      </c>
      <c r="L46" s="3" t="s">
        <v>36</v>
      </c>
      <c r="M46" s="3" t="s">
        <v>49</v>
      </c>
      <c r="N46" s="3"/>
      <c r="O46" s="3" t="s">
        <v>37</v>
      </c>
      <c r="P46" s="3"/>
      <c r="Q46" s="3" t="s">
        <v>37</v>
      </c>
      <c r="R46" s="3"/>
      <c r="S46" s="3"/>
      <c r="T46" s="5"/>
      <c r="U46" s="5"/>
      <c r="V46" s="5"/>
      <c r="W46" s="5"/>
    </row>
    <row r="47">
      <c r="A47" s="9" t="s">
        <v>24</v>
      </c>
      <c r="B47" s="9" t="s">
        <v>23</v>
      </c>
      <c r="C47" s="10">
        <v>7.0</v>
      </c>
      <c r="D47" s="10">
        <v>7.2</v>
      </c>
      <c r="E47" s="10">
        <v>1.25</v>
      </c>
      <c r="F47" s="16" t="s">
        <v>66</v>
      </c>
      <c r="G47" s="7" t="str">
        <f t="shared" si="1"/>
        <v>0</v>
      </c>
      <c r="H47" s="7" t="str">
        <f t="shared" si="2"/>
        <v>6</v>
      </c>
      <c r="I47" s="7">
        <f t="shared" si="3"/>
        <v>2</v>
      </c>
      <c r="J47" s="8">
        <f t="shared" si="4"/>
        <v>1.25</v>
      </c>
      <c r="K47" s="3" t="s">
        <v>41</v>
      </c>
      <c r="L47" s="3" t="s">
        <v>69</v>
      </c>
      <c r="M47" s="3" t="s">
        <v>38</v>
      </c>
      <c r="N47" s="3" t="s">
        <v>64</v>
      </c>
      <c r="O47" s="3" t="s">
        <v>64</v>
      </c>
      <c r="P47" s="3"/>
      <c r="Q47" s="3" t="s">
        <v>39</v>
      </c>
      <c r="R47" s="3"/>
      <c r="S47" s="17"/>
      <c r="T47" s="5"/>
      <c r="U47" s="5"/>
      <c r="V47" s="5"/>
      <c r="W47" s="5"/>
    </row>
    <row r="48">
      <c r="A48" s="9" t="s">
        <v>45</v>
      </c>
      <c r="B48" s="9" t="s">
        <v>15</v>
      </c>
      <c r="C48" s="10">
        <v>6.0</v>
      </c>
      <c r="D48" s="10">
        <v>6.25</v>
      </c>
      <c r="E48" s="10">
        <v>1.33</v>
      </c>
      <c r="F48" s="16" t="s">
        <v>57</v>
      </c>
      <c r="G48" s="7" t="str">
        <f t="shared" si="1"/>
        <v>3</v>
      </c>
      <c r="H48" s="7" t="str">
        <f t="shared" si="2"/>
        <v>5</v>
      </c>
      <c r="I48" s="7">
        <f t="shared" si="3"/>
        <v>2</v>
      </c>
      <c r="J48" s="8">
        <f t="shared" si="4"/>
        <v>1.33</v>
      </c>
      <c r="K48" s="3" t="s">
        <v>41</v>
      </c>
      <c r="L48" s="3" t="s">
        <v>29</v>
      </c>
      <c r="M48" s="3" t="s">
        <v>38</v>
      </c>
      <c r="N48" s="3" t="s">
        <v>39</v>
      </c>
      <c r="O48" s="3" t="s">
        <v>38</v>
      </c>
      <c r="P48" s="3"/>
      <c r="Q48" s="3" t="s">
        <v>39</v>
      </c>
      <c r="R48" s="3"/>
      <c r="S48" s="17"/>
      <c r="T48" s="5"/>
      <c r="U48" s="5"/>
      <c r="V48" s="5"/>
      <c r="W48" s="5"/>
    </row>
    <row r="49">
      <c r="A49" s="9" t="s">
        <v>55</v>
      </c>
      <c r="B49" s="9" t="s">
        <v>17</v>
      </c>
      <c r="C49" s="10">
        <v>7.0</v>
      </c>
      <c r="D49" s="10">
        <v>6.5</v>
      </c>
      <c r="E49" s="10">
        <v>1.28</v>
      </c>
      <c r="F49" s="16" t="s">
        <v>81</v>
      </c>
      <c r="G49" s="7" t="str">
        <f t="shared" si="1"/>
        <v>3</v>
      </c>
      <c r="H49" s="7" t="str">
        <f t="shared" si="2"/>
        <v>9</v>
      </c>
      <c r="I49" s="7">
        <f t="shared" si="3"/>
        <v>2</v>
      </c>
      <c r="J49" s="8">
        <f t="shared" si="4"/>
        <v>1.28</v>
      </c>
      <c r="K49" s="3" t="s">
        <v>41</v>
      </c>
      <c r="L49" s="3" t="s">
        <v>75</v>
      </c>
      <c r="M49" s="3" t="s">
        <v>61</v>
      </c>
      <c r="N49" s="3" t="s">
        <v>70</v>
      </c>
      <c r="O49" s="3" t="s">
        <v>69</v>
      </c>
      <c r="P49" s="3"/>
      <c r="Q49" s="3" t="s">
        <v>67</v>
      </c>
      <c r="R49" s="3"/>
      <c r="S49" s="17"/>
      <c r="T49" s="5"/>
      <c r="U49" s="5"/>
      <c r="V49" s="5"/>
      <c r="W49" s="5"/>
    </row>
    <row r="50">
      <c r="A50" s="9" t="s">
        <v>20</v>
      </c>
      <c r="B50" s="9" t="s">
        <v>16</v>
      </c>
      <c r="C50" s="10">
        <v>5.0</v>
      </c>
      <c r="D50" s="10">
        <v>5.25</v>
      </c>
      <c r="E50" s="10">
        <v>1.45</v>
      </c>
      <c r="F50" s="16" t="s">
        <v>43</v>
      </c>
      <c r="G50" s="7" t="str">
        <f t="shared" si="1"/>
        <v>2</v>
      </c>
      <c r="H50" s="7" t="str">
        <f t="shared" si="2"/>
        <v>2</v>
      </c>
      <c r="I50" s="7" t="str">
        <f t="shared" si="3"/>
        <v>x</v>
      </c>
      <c r="J50" s="8">
        <f t="shared" si="4"/>
        <v>5.25</v>
      </c>
      <c r="K50" s="3" t="s">
        <v>41</v>
      </c>
      <c r="L50" s="3" t="s">
        <v>69</v>
      </c>
      <c r="M50" s="3" t="s">
        <v>39</v>
      </c>
      <c r="N50" s="3" t="s">
        <v>61</v>
      </c>
      <c r="O50" s="3" t="s">
        <v>43</v>
      </c>
      <c r="P50" s="3"/>
      <c r="Q50" s="3" t="s">
        <v>62</v>
      </c>
      <c r="R50" s="3"/>
      <c r="S50" s="17"/>
      <c r="T50" s="5"/>
      <c r="U50" s="5"/>
      <c r="V50" s="5"/>
      <c r="W50" s="5"/>
    </row>
    <row r="51">
      <c r="A51" s="9" t="s">
        <v>18</v>
      </c>
      <c r="B51" s="9" t="s">
        <v>52</v>
      </c>
      <c r="C51" s="10">
        <v>1.25</v>
      </c>
      <c r="D51" s="10">
        <v>7.2</v>
      </c>
      <c r="E51" s="10">
        <v>7.0</v>
      </c>
      <c r="F51" s="16" t="s">
        <v>26</v>
      </c>
      <c r="G51" s="7" t="str">
        <f t="shared" si="1"/>
        <v>4</v>
      </c>
      <c r="H51" s="7" t="str">
        <f t="shared" si="2"/>
        <v>0</v>
      </c>
      <c r="I51" s="7">
        <f t="shared" si="3"/>
        <v>1</v>
      </c>
      <c r="J51" s="8">
        <f t="shared" si="4"/>
        <v>1.25</v>
      </c>
      <c r="K51" s="3" t="s">
        <v>41</v>
      </c>
      <c r="L51" s="3" t="s">
        <v>41</v>
      </c>
      <c r="M51" s="3" t="s">
        <v>31</v>
      </c>
      <c r="N51" s="3" t="s">
        <v>41</v>
      </c>
      <c r="O51" s="3" t="s">
        <v>27</v>
      </c>
      <c r="P51" s="3"/>
      <c r="Q51" s="3" t="s">
        <v>43</v>
      </c>
      <c r="R51" s="3"/>
      <c r="S51" s="17"/>
      <c r="T51" s="5"/>
      <c r="U51" s="5"/>
      <c r="V51" s="5"/>
      <c r="W51" s="5"/>
    </row>
    <row r="52">
      <c r="A52" s="9" t="s">
        <v>23</v>
      </c>
      <c r="B52" s="9" t="s">
        <v>46</v>
      </c>
      <c r="C52" s="10">
        <v>1.13</v>
      </c>
      <c r="D52" s="10">
        <v>10.0</v>
      </c>
      <c r="E52" s="10">
        <v>11.0</v>
      </c>
      <c r="F52" s="16" t="s">
        <v>54</v>
      </c>
      <c r="G52" s="7" t="str">
        <f t="shared" si="1"/>
        <v>4</v>
      </c>
      <c r="H52" s="7" t="str">
        <f t="shared" si="2"/>
        <v>3</v>
      </c>
      <c r="I52" s="7">
        <f t="shared" si="3"/>
        <v>1</v>
      </c>
      <c r="J52" s="8">
        <f t="shared" si="4"/>
        <v>1.13</v>
      </c>
      <c r="K52" s="3" t="s">
        <v>41</v>
      </c>
      <c r="L52" s="3" t="s">
        <v>31</v>
      </c>
      <c r="M52" s="3" t="s">
        <v>43</v>
      </c>
      <c r="N52" s="3" t="s">
        <v>29</v>
      </c>
      <c r="O52" s="3" t="s">
        <v>47</v>
      </c>
      <c r="P52" s="3"/>
      <c r="Q52" s="3" t="s">
        <v>35</v>
      </c>
      <c r="R52" s="3"/>
      <c r="S52" s="17"/>
      <c r="T52" s="5"/>
      <c r="U52" s="5"/>
      <c r="V52" s="5"/>
      <c r="W52" s="5"/>
    </row>
    <row r="53">
      <c r="A53" s="9" t="s">
        <v>58</v>
      </c>
      <c r="B53" s="9" t="s">
        <v>55</v>
      </c>
      <c r="C53" s="10">
        <v>6.5</v>
      </c>
      <c r="D53" s="10">
        <v>6.5</v>
      </c>
      <c r="E53" s="10">
        <v>1.3</v>
      </c>
      <c r="F53" s="16" t="s">
        <v>63</v>
      </c>
      <c r="G53" s="7" t="str">
        <f t="shared" si="1"/>
        <v>0</v>
      </c>
      <c r="H53" s="7" t="str">
        <f t="shared" si="2"/>
        <v>3</v>
      </c>
      <c r="I53" s="7">
        <f t="shared" si="3"/>
        <v>2</v>
      </c>
      <c r="J53" s="8">
        <f t="shared" si="4"/>
        <v>1.3</v>
      </c>
      <c r="K53" s="3" t="s">
        <v>41</v>
      </c>
      <c r="L53" s="3" t="s">
        <v>62</v>
      </c>
      <c r="M53" s="3" t="s">
        <v>39</v>
      </c>
      <c r="N53" s="3" t="s">
        <v>38</v>
      </c>
      <c r="O53" s="3" t="s">
        <v>63</v>
      </c>
      <c r="P53" s="3"/>
      <c r="Q53" s="3" t="s">
        <v>38</v>
      </c>
      <c r="R53" s="3"/>
      <c r="S53" s="17"/>
      <c r="T53" s="5"/>
      <c r="U53" s="5"/>
      <c r="V53" s="5"/>
      <c r="W53" s="5"/>
    </row>
    <row r="54">
      <c r="A54" s="9" t="s">
        <v>21</v>
      </c>
      <c r="B54" s="9" t="s">
        <v>56</v>
      </c>
      <c r="C54" s="10">
        <v>1.1</v>
      </c>
      <c r="D54" s="10">
        <v>10.0</v>
      </c>
      <c r="E54" s="10">
        <v>14.0</v>
      </c>
      <c r="F54" s="16" t="s">
        <v>48</v>
      </c>
      <c r="G54" s="7" t="str">
        <f t="shared" si="1"/>
        <v>1</v>
      </c>
      <c r="H54" s="7" t="str">
        <f t="shared" si="2"/>
        <v>1</v>
      </c>
      <c r="I54" s="7" t="str">
        <f t="shared" si="3"/>
        <v>x</v>
      </c>
      <c r="J54" s="8">
        <f t="shared" si="4"/>
        <v>10</v>
      </c>
      <c r="K54" s="3" t="s">
        <v>41</v>
      </c>
      <c r="L54" s="3" t="s">
        <v>59</v>
      </c>
      <c r="M54" s="3" t="s">
        <v>34</v>
      </c>
      <c r="N54" s="3" t="s">
        <v>53</v>
      </c>
      <c r="O54" s="3" t="s">
        <v>34</v>
      </c>
      <c r="P54" s="3"/>
      <c r="Q54" s="3" t="s">
        <v>25</v>
      </c>
      <c r="R54" s="3"/>
      <c r="S54" s="17"/>
      <c r="T54" s="5"/>
      <c r="U54" s="5"/>
      <c r="V54" s="5"/>
      <c r="W54" s="5"/>
    </row>
    <row r="55">
      <c r="A55" s="9" t="s">
        <v>45</v>
      </c>
      <c r="B55" s="9" t="s">
        <v>24</v>
      </c>
      <c r="C55" s="10">
        <v>1.6</v>
      </c>
      <c r="D55" s="10">
        <v>4.6</v>
      </c>
      <c r="E55" s="10">
        <v>4.2</v>
      </c>
      <c r="F55" s="16" t="s">
        <v>27</v>
      </c>
      <c r="G55" s="7" t="str">
        <f t="shared" si="1"/>
        <v>5</v>
      </c>
      <c r="H55" s="7" t="str">
        <f t="shared" si="2"/>
        <v>1</v>
      </c>
      <c r="I55" s="7">
        <f t="shared" si="3"/>
        <v>1</v>
      </c>
      <c r="J55" s="8">
        <f t="shared" si="4"/>
        <v>1.6</v>
      </c>
      <c r="K55" s="3" t="s">
        <v>41</v>
      </c>
      <c r="L55" s="3" t="s">
        <v>30</v>
      </c>
      <c r="M55" s="3" t="s">
        <v>28</v>
      </c>
      <c r="N55" s="3" t="s">
        <v>54</v>
      </c>
      <c r="O55" s="3" t="s">
        <v>30</v>
      </c>
      <c r="P55" s="3"/>
      <c r="Q55" s="3" t="s">
        <v>40</v>
      </c>
      <c r="R55" s="3"/>
      <c r="S55" s="17"/>
      <c r="T55" s="5"/>
      <c r="U55" s="5"/>
      <c r="V55" s="5"/>
      <c r="W55" s="5"/>
    </row>
    <row r="56">
      <c r="A56" s="9" t="s">
        <v>32</v>
      </c>
      <c r="B56" s="9" t="s">
        <v>52</v>
      </c>
      <c r="C56" s="10">
        <v>3.25</v>
      </c>
      <c r="D56" s="10">
        <v>4.4</v>
      </c>
      <c r="E56" s="10">
        <v>1.85</v>
      </c>
      <c r="F56" s="16" t="s">
        <v>82</v>
      </c>
      <c r="G56" s="7" t="str">
        <f t="shared" si="1"/>
        <v>4</v>
      </c>
      <c r="H56" s="7" t="str">
        <f t="shared" si="2"/>
        <v>7</v>
      </c>
      <c r="I56" s="7">
        <f t="shared" si="3"/>
        <v>2</v>
      </c>
      <c r="J56" s="8">
        <f t="shared" si="4"/>
        <v>1.85</v>
      </c>
      <c r="K56" s="3" t="s">
        <v>41</v>
      </c>
      <c r="L56" s="3" t="s">
        <v>67</v>
      </c>
      <c r="M56" s="3" t="s">
        <v>38</v>
      </c>
      <c r="N56" s="3" t="s">
        <v>29</v>
      </c>
      <c r="O56" s="3" t="s">
        <v>64</v>
      </c>
      <c r="P56" s="3"/>
      <c r="Q56" s="3" t="s">
        <v>43</v>
      </c>
      <c r="R56" s="3"/>
      <c r="S56" s="17"/>
      <c r="T56" s="5"/>
      <c r="U56" s="5"/>
      <c r="V56" s="5"/>
      <c r="W56" s="5"/>
    </row>
    <row r="57">
      <c r="A57" s="9" t="s">
        <v>18</v>
      </c>
      <c r="B57" s="9" t="s">
        <v>15</v>
      </c>
      <c r="C57" s="10">
        <v>2.4</v>
      </c>
      <c r="D57" s="10">
        <v>4.25</v>
      </c>
      <c r="E57" s="10">
        <v>2.4</v>
      </c>
      <c r="F57" s="16" t="s">
        <v>38</v>
      </c>
      <c r="G57" s="7" t="str">
        <f t="shared" si="1"/>
        <v>1</v>
      </c>
      <c r="H57" s="7" t="str">
        <f t="shared" si="2"/>
        <v>3</v>
      </c>
      <c r="I57" s="7">
        <f t="shared" si="3"/>
        <v>2</v>
      </c>
      <c r="J57" s="8">
        <f t="shared" si="4"/>
        <v>2.4</v>
      </c>
      <c r="K57" s="3" t="s">
        <v>41</v>
      </c>
      <c r="L57" s="3" t="s">
        <v>57</v>
      </c>
      <c r="M57" s="3" t="s">
        <v>54</v>
      </c>
      <c r="N57" s="3" t="s">
        <v>49</v>
      </c>
      <c r="O57" s="3" t="s">
        <v>41</v>
      </c>
      <c r="P57" s="3"/>
      <c r="Q57" s="3" t="s">
        <v>83</v>
      </c>
      <c r="R57" s="3"/>
      <c r="S57" s="17"/>
      <c r="T57" s="5"/>
      <c r="U57" s="5"/>
      <c r="V57" s="5"/>
      <c r="W57" s="5"/>
    </row>
    <row r="58">
      <c r="A58" s="9" t="s">
        <v>16</v>
      </c>
      <c r="B58" s="9" t="s">
        <v>17</v>
      </c>
      <c r="C58" s="10">
        <v>2.25</v>
      </c>
      <c r="D58" s="10">
        <v>4.4</v>
      </c>
      <c r="E58" s="10">
        <v>2.45</v>
      </c>
      <c r="F58" s="16" t="s">
        <v>47</v>
      </c>
      <c r="G58" s="7" t="str">
        <f t="shared" si="1"/>
        <v>6</v>
      </c>
      <c r="H58" s="7" t="str">
        <f t="shared" si="2"/>
        <v>2</v>
      </c>
      <c r="I58" s="7">
        <f t="shared" si="3"/>
        <v>1</v>
      </c>
      <c r="J58" s="8">
        <f t="shared" si="4"/>
        <v>2.25</v>
      </c>
      <c r="K58" s="3" t="s">
        <v>41</v>
      </c>
      <c r="L58" s="3" t="s">
        <v>84</v>
      </c>
      <c r="M58" s="3" t="s">
        <v>41</v>
      </c>
      <c r="N58" s="3" t="s">
        <v>37</v>
      </c>
      <c r="O58" s="3" t="s">
        <v>37</v>
      </c>
      <c r="P58" s="3"/>
      <c r="Q58" s="3" t="s">
        <v>49</v>
      </c>
      <c r="R58" s="3"/>
      <c r="S58" s="17"/>
      <c r="T58" s="5"/>
      <c r="U58" s="5"/>
      <c r="V58" s="5"/>
      <c r="W58" s="5"/>
    </row>
    <row r="59">
      <c r="A59" s="9" t="s">
        <v>21</v>
      </c>
      <c r="B59" s="9" t="s">
        <v>20</v>
      </c>
      <c r="C59" s="10">
        <v>1.16</v>
      </c>
      <c r="D59" s="10">
        <v>8.5</v>
      </c>
      <c r="E59" s="10">
        <v>10.0</v>
      </c>
      <c r="F59" s="16" t="s">
        <v>35</v>
      </c>
      <c r="G59" s="7" t="str">
        <f t="shared" si="1"/>
        <v>3</v>
      </c>
      <c r="H59" s="7" t="str">
        <f t="shared" si="2"/>
        <v>0</v>
      </c>
      <c r="I59" s="7">
        <f t="shared" si="3"/>
        <v>1</v>
      </c>
      <c r="J59" s="8">
        <f t="shared" si="4"/>
        <v>1.16</v>
      </c>
      <c r="K59" s="3" t="s">
        <v>41</v>
      </c>
      <c r="L59" s="3" t="s">
        <v>47</v>
      </c>
      <c r="M59" s="3" t="s">
        <v>30</v>
      </c>
      <c r="N59" s="3" t="s">
        <v>25</v>
      </c>
      <c r="O59" s="3" t="s">
        <v>41</v>
      </c>
      <c r="P59" s="3"/>
      <c r="Q59" s="3" t="s">
        <v>33</v>
      </c>
      <c r="R59" s="3"/>
      <c r="S59" s="17"/>
      <c r="T59" s="5"/>
      <c r="U59" s="5"/>
      <c r="V59" s="5"/>
      <c r="W59" s="5"/>
    </row>
    <row r="60">
      <c r="A60" s="9" t="s">
        <v>56</v>
      </c>
      <c r="B60" s="9" t="s">
        <v>42</v>
      </c>
      <c r="C60" s="10">
        <v>2.7</v>
      </c>
      <c r="D60" s="10">
        <v>4.25</v>
      </c>
      <c r="E60" s="10">
        <v>2.1</v>
      </c>
      <c r="F60" s="16" t="s">
        <v>51</v>
      </c>
      <c r="G60" s="7" t="str">
        <f t="shared" si="1"/>
        <v>1</v>
      </c>
      <c r="H60" s="7" t="str">
        <f t="shared" si="2"/>
        <v>0</v>
      </c>
      <c r="I60" s="7">
        <f t="shared" si="3"/>
        <v>1</v>
      </c>
      <c r="J60" s="8">
        <f t="shared" si="4"/>
        <v>2.7</v>
      </c>
      <c r="K60" s="3" t="s">
        <v>41</v>
      </c>
      <c r="L60" s="3" t="s">
        <v>39</v>
      </c>
      <c r="M60" s="3" t="s">
        <v>43</v>
      </c>
      <c r="N60" s="3" t="s">
        <v>36</v>
      </c>
      <c r="O60" s="3" t="s">
        <v>39</v>
      </c>
      <c r="P60" s="3"/>
      <c r="Q60" s="3" t="s">
        <v>77</v>
      </c>
      <c r="R60" s="3"/>
      <c r="S60" s="17"/>
      <c r="T60" s="5"/>
      <c r="U60" s="5"/>
      <c r="V60" s="5"/>
      <c r="W60" s="5"/>
    </row>
    <row r="61">
      <c r="A61" s="9" t="s">
        <v>18</v>
      </c>
      <c r="B61" s="9" t="s">
        <v>21</v>
      </c>
      <c r="C61" s="10">
        <v>3.75</v>
      </c>
      <c r="D61" s="10">
        <v>4.75</v>
      </c>
      <c r="E61" s="10">
        <v>1.72</v>
      </c>
      <c r="F61" s="16" t="s">
        <v>37</v>
      </c>
      <c r="G61" s="7" t="str">
        <f t="shared" si="1"/>
        <v>4</v>
      </c>
      <c r="H61" s="7" t="str">
        <f t="shared" si="2"/>
        <v>4</v>
      </c>
      <c r="I61" s="7" t="str">
        <f t="shared" si="3"/>
        <v>x</v>
      </c>
      <c r="J61" s="8">
        <f t="shared" si="4"/>
        <v>4.75</v>
      </c>
      <c r="K61" s="3" t="s">
        <v>41</v>
      </c>
      <c r="L61" s="3" t="s">
        <v>85</v>
      </c>
      <c r="M61" s="3" t="s">
        <v>41</v>
      </c>
      <c r="N61" s="3" t="s">
        <v>29</v>
      </c>
      <c r="O61" s="3" t="s">
        <v>64</v>
      </c>
      <c r="P61" s="3"/>
      <c r="Q61" s="3" t="s">
        <v>53</v>
      </c>
      <c r="R61" s="3"/>
      <c r="S61" s="17"/>
      <c r="T61" s="5"/>
      <c r="U61" s="5"/>
      <c r="V61" s="5"/>
      <c r="W61" s="5"/>
    </row>
    <row r="62">
      <c r="A62" s="9" t="s">
        <v>17</v>
      </c>
      <c r="B62" s="9" t="s">
        <v>23</v>
      </c>
      <c r="C62" s="10">
        <v>1.9</v>
      </c>
      <c r="D62" s="10">
        <v>4.4</v>
      </c>
      <c r="E62" s="10">
        <v>3.3</v>
      </c>
      <c r="F62" s="16" t="s">
        <v>29</v>
      </c>
      <c r="G62" s="7" t="str">
        <f t="shared" si="1"/>
        <v>3</v>
      </c>
      <c r="H62" s="7" t="str">
        <f t="shared" si="2"/>
        <v>2</v>
      </c>
      <c r="I62" s="7">
        <f t="shared" si="3"/>
        <v>1</v>
      </c>
      <c r="J62" s="8">
        <f t="shared" si="4"/>
        <v>1.9</v>
      </c>
      <c r="K62" s="3" t="s">
        <v>41</v>
      </c>
      <c r="L62" s="3" t="s">
        <v>36</v>
      </c>
      <c r="M62" s="3" t="s">
        <v>53</v>
      </c>
      <c r="N62" s="3" t="s">
        <v>64</v>
      </c>
      <c r="O62" s="3" t="s">
        <v>35</v>
      </c>
      <c r="P62" s="3"/>
      <c r="Q62" s="3" t="s">
        <v>36</v>
      </c>
      <c r="R62" s="3"/>
      <c r="S62" s="17"/>
      <c r="T62" s="5"/>
      <c r="U62" s="5"/>
      <c r="V62" s="5"/>
      <c r="W62" s="5"/>
    </row>
    <row r="63">
      <c r="A63" s="9" t="s">
        <v>16</v>
      </c>
      <c r="B63" s="9" t="s">
        <v>45</v>
      </c>
      <c r="C63" s="10">
        <v>1.53</v>
      </c>
      <c r="D63" s="10">
        <v>5.0</v>
      </c>
      <c r="E63" s="10">
        <v>4.75</v>
      </c>
      <c r="F63" s="16" t="s">
        <v>36</v>
      </c>
      <c r="G63" s="7" t="str">
        <f t="shared" si="1"/>
        <v>2</v>
      </c>
      <c r="H63" s="7" t="str">
        <f t="shared" si="2"/>
        <v>3</v>
      </c>
      <c r="I63" s="7">
        <f t="shared" si="3"/>
        <v>2</v>
      </c>
      <c r="J63" s="8">
        <f t="shared" si="4"/>
        <v>4.75</v>
      </c>
      <c r="K63" s="3" t="s">
        <v>41</v>
      </c>
      <c r="L63" s="3" t="s">
        <v>53</v>
      </c>
      <c r="M63" s="3" t="s">
        <v>28</v>
      </c>
      <c r="N63" s="3" t="s">
        <v>35</v>
      </c>
      <c r="O63" s="3" t="s">
        <v>41</v>
      </c>
      <c r="P63" s="3"/>
      <c r="Q63" s="3" t="s">
        <v>30</v>
      </c>
      <c r="R63" s="3"/>
      <c r="S63" s="17"/>
      <c r="T63" s="5"/>
      <c r="U63" s="5"/>
      <c r="V63" s="5"/>
      <c r="W63" s="5"/>
    </row>
    <row r="64">
      <c r="A64" s="9" t="s">
        <v>15</v>
      </c>
      <c r="B64" s="9" t="s">
        <v>56</v>
      </c>
      <c r="C64" s="10">
        <v>1.09</v>
      </c>
      <c r="D64" s="10">
        <v>11.5</v>
      </c>
      <c r="E64" s="10">
        <v>19.5</v>
      </c>
      <c r="F64" s="16" t="s">
        <v>29</v>
      </c>
      <c r="G64" s="7" t="str">
        <f t="shared" si="1"/>
        <v>3</v>
      </c>
      <c r="H64" s="7" t="str">
        <f t="shared" si="2"/>
        <v>2</v>
      </c>
      <c r="I64" s="7">
        <f t="shared" si="3"/>
        <v>1</v>
      </c>
      <c r="J64" s="8">
        <f t="shared" si="4"/>
        <v>1.09</v>
      </c>
      <c r="K64" s="3" t="s">
        <v>43</v>
      </c>
      <c r="L64" s="3" t="s">
        <v>27</v>
      </c>
      <c r="M64" s="3" t="s">
        <v>35</v>
      </c>
      <c r="N64" s="3" t="s">
        <v>26</v>
      </c>
      <c r="O64" s="3" t="s">
        <v>27</v>
      </c>
      <c r="P64" s="3"/>
      <c r="Q64" s="3" t="s">
        <v>26</v>
      </c>
      <c r="R64" s="3"/>
      <c r="S64" s="17"/>
      <c r="T64" s="5"/>
      <c r="U64" s="5"/>
      <c r="V64" s="5"/>
      <c r="W64" s="5"/>
    </row>
    <row r="65">
      <c r="A65" s="9" t="s">
        <v>15</v>
      </c>
      <c r="B65" s="9" t="s">
        <v>17</v>
      </c>
      <c r="C65" s="10">
        <v>2.05</v>
      </c>
      <c r="D65" s="10">
        <v>4.33</v>
      </c>
      <c r="E65" s="10">
        <v>2.95</v>
      </c>
      <c r="F65" s="16" t="s">
        <v>34</v>
      </c>
      <c r="G65" s="7" t="str">
        <f t="shared" si="1"/>
        <v>6</v>
      </c>
      <c r="H65" s="7" t="str">
        <f t="shared" si="2"/>
        <v>0</v>
      </c>
      <c r="I65" s="7">
        <f t="shared" si="3"/>
        <v>1</v>
      </c>
      <c r="J65" s="8">
        <f t="shared" si="4"/>
        <v>2.05</v>
      </c>
      <c r="K65" s="3" t="s">
        <v>41</v>
      </c>
      <c r="L65" s="3" t="s">
        <v>49</v>
      </c>
      <c r="M65" s="3" t="s">
        <v>29</v>
      </c>
      <c r="N65" s="3" t="s">
        <v>53</v>
      </c>
      <c r="O65" s="3" t="s">
        <v>41</v>
      </c>
      <c r="P65" s="3"/>
      <c r="Q65" s="3"/>
      <c r="R65" s="3"/>
      <c r="S65" s="17"/>
      <c r="T65" s="5"/>
      <c r="U65" s="5"/>
      <c r="V65" s="5"/>
      <c r="W65" s="5"/>
    </row>
    <row r="66">
      <c r="A66" s="9" t="s">
        <v>21</v>
      </c>
      <c r="B66" s="9" t="s">
        <v>45</v>
      </c>
      <c r="C66" s="10">
        <v>1.42</v>
      </c>
      <c r="D66" s="10">
        <v>6.0</v>
      </c>
      <c r="E66" s="10">
        <v>5.25</v>
      </c>
      <c r="F66" s="16" t="s">
        <v>36</v>
      </c>
      <c r="G66" s="7" t="str">
        <f t="shared" si="1"/>
        <v>2</v>
      </c>
      <c r="H66" s="7" t="str">
        <f t="shared" si="2"/>
        <v>3</v>
      </c>
      <c r="I66" s="7">
        <f t="shared" si="3"/>
        <v>2</v>
      </c>
      <c r="J66" s="8">
        <f t="shared" si="4"/>
        <v>5.25</v>
      </c>
      <c r="K66" s="3" t="s">
        <v>39</v>
      </c>
      <c r="L66" s="3" t="s">
        <v>86</v>
      </c>
      <c r="M66" s="3" t="s">
        <v>41</v>
      </c>
      <c r="N66" s="3" t="s">
        <v>36</v>
      </c>
      <c r="O66" s="3" t="s">
        <v>31</v>
      </c>
      <c r="P66" s="3"/>
      <c r="Q66" s="3"/>
      <c r="R66" s="3"/>
      <c r="S66" s="17"/>
      <c r="T66" s="5"/>
      <c r="U66" s="5"/>
      <c r="V66" s="5"/>
      <c r="W66" s="5"/>
    </row>
    <row r="67">
      <c r="A67" s="18" t="s">
        <v>17</v>
      </c>
      <c r="B67" s="19" t="s">
        <v>21</v>
      </c>
      <c r="C67" s="10">
        <v>2.9</v>
      </c>
      <c r="D67" s="10">
        <v>4.75</v>
      </c>
      <c r="E67" s="10">
        <v>1.95</v>
      </c>
      <c r="F67" s="16" t="s">
        <v>30</v>
      </c>
      <c r="G67" s="7" t="str">
        <f t="shared" si="1"/>
        <v>4</v>
      </c>
      <c r="H67" s="7" t="str">
        <f t="shared" si="2"/>
        <v>1</v>
      </c>
      <c r="I67" s="7">
        <f t="shared" si="3"/>
        <v>1</v>
      </c>
      <c r="J67" s="8">
        <f t="shared" si="4"/>
        <v>2.9</v>
      </c>
      <c r="K67" s="3" t="s">
        <v>85</v>
      </c>
      <c r="L67" s="3" t="s">
        <v>36</v>
      </c>
      <c r="M67" s="3" t="s">
        <v>39</v>
      </c>
      <c r="N67" s="3" t="s">
        <v>49</v>
      </c>
      <c r="O67" s="3" t="s">
        <v>37</v>
      </c>
      <c r="P67" s="3"/>
      <c r="Q67" s="17"/>
      <c r="R67" s="3"/>
      <c r="S67" s="17"/>
      <c r="T67" s="5"/>
      <c r="U67" s="5"/>
      <c r="V67" s="5"/>
      <c r="W67" s="5"/>
    </row>
    <row r="68">
      <c r="A68" s="18" t="s">
        <v>15</v>
      </c>
      <c r="B68" s="19" t="s">
        <v>45</v>
      </c>
      <c r="C68" s="10">
        <v>1.53</v>
      </c>
      <c r="D68" s="10">
        <v>5.0</v>
      </c>
      <c r="E68" s="10">
        <v>4.6</v>
      </c>
      <c r="F68" s="16" t="s">
        <v>43</v>
      </c>
      <c r="G68" s="7" t="str">
        <f t="shared" si="1"/>
        <v>2</v>
      </c>
      <c r="H68" s="7" t="str">
        <f t="shared" si="2"/>
        <v>2</v>
      </c>
      <c r="I68" s="7" t="str">
        <f t="shared" si="3"/>
        <v>x</v>
      </c>
      <c r="J68" s="8">
        <f t="shared" si="4"/>
        <v>5</v>
      </c>
      <c r="K68" s="3" t="s">
        <v>41</v>
      </c>
      <c r="L68" s="3" t="s">
        <v>36</v>
      </c>
      <c r="M68" s="3" t="s">
        <v>29</v>
      </c>
      <c r="N68" s="3" t="s">
        <v>30</v>
      </c>
      <c r="O68" s="3" t="s">
        <v>53</v>
      </c>
      <c r="P68" s="3"/>
      <c r="Q68" s="3"/>
      <c r="R68" s="3"/>
      <c r="S68" s="17"/>
      <c r="T68" s="5"/>
      <c r="U68" s="5"/>
      <c r="V68" s="5"/>
      <c r="W68" s="5"/>
    </row>
    <row r="69">
      <c r="A69" s="20"/>
      <c r="B69" s="21"/>
      <c r="C69" s="22"/>
      <c r="D69" s="22"/>
      <c r="E69" s="22"/>
      <c r="F69" s="23"/>
      <c r="G69" s="7" t="str">
        <f t="shared" si="1"/>
        <v>#VALUE!</v>
      </c>
      <c r="H69" s="7" t="str">
        <f t="shared" si="2"/>
        <v>#VALUE!</v>
      </c>
      <c r="I69" s="7" t="str">
        <f t="shared" si="3"/>
        <v>#VALUE!</v>
      </c>
      <c r="J69" s="8" t="str">
        <f t="shared" si="4"/>
        <v/>
      </c>
      <c r="K69" s="17"/>
      <c r="L69" s="17"/>
      <c r="M69" s="17"/>
      <c r="N69" s="17"/>
      <c r="O69" s="17"/>
      <c r="P69" s="3"/>
      <c r="Q69" s="17"/>
      <c r="R69" s="3"/>
      <c r="S69" s="17"/>
      <c r="T69" s="5"/>
      <c r="U69" s="5"/>
      <c r="V69" s="5"/>
      <c r="W69" s="5"/>
    </row>
    <row r="70">
      <c r="A70" s="20"/>
      <c r="B70" s="21"/>
      <c r="C70" s="22"/>
      <c r="D70" s="22"/>
      <c r="E70" s="22"/>
      <c r="F70" s="23"/>
      <c r="G70" s="7" t="str">
        <f t="shared" si="1"/>
        <v>#VALUE!</v>
      </c>
      <c r="H70" s="7" t="str">
        <f t="shared" si="2"/>
        <v>#VALUE!</v>
      </c>
      <c r="I70" s="7" t="str">
        <f t="shared" si="3"/>
        <v>#VALUE!</v>
      </c>
      <c r="J70" s="8" t="str">
        <f t="shared" si="4"/>
        <v/>
      </c>
      <c r="K70" s="17"/>
      <c r="L70" s="17"/>
      <c r="M70" s="17"/>
      <c r="N70" s="17"/>
      <c r="O70" s="17"/>
      <c r="P70" s="3"/>
      <c r="Q70" s="17"/>
      <c r="R70" s="3"/>
      <c r="S70" s="17"/>
      <c r="T70" s="5"/>
      <c r="U70" s="5"/>
      <c r="V70" s="5"/>
      <c r="W70" s="5"/>
    </row>
    <row r="71">
      <c r="A71" s="20"/>
      <c r="B71" s="21"/>
      <c r="C71" s="22"/>
      <c r="D71" s="22"/>
      <c r="E71" s="22"/>
      <c r="F71" s="23"/>
      <c r="G71" s="7" t="str">
        <f t="shared" si="1"/>
        <v>#VALUE!</v>
      </c>
      <c r="H71" s="7" t="str">
        <f t="shared" si="2"/>
        <v>#VALUE!</v>
      </c>
      <c r="I71" s="7" t="str">
        <f t="shared" si="3"/>
        <v>#VALUE!</v>
      </c>
      <c r="J71" s="8" t="str">
        <f t="shared" si="4"/>
        <v/>
      </c>
      <c r="K71" s="17"/>
      <c r="L71" s="17"/>
      <c r="M71" s="17"/>
      <c r="N71" s="17"/>
      <c r="O71" s="17"/>
      <c r="P71" s="3"/>
      <c r="Q71" s="17"/>
      <c r="R71" s="3"/>
      <c r="S71" s="17"/>
      <c r="T71" s="5"/>
      <c r="U71" s="5"/>
      <c r="V71" s="5"/>
      <c r="W71" s="5"/>
    </row>
    <row r="72">
      <c r="A72" s="20"/>
      <c r="B72" s="21"/>
      <c r="C72" s="22"/>
      <c r="D72" s="22"/>
      <c r="E72" s="22"/>
      <c r="F72" s="23"/>
      <c r="G72" s="7" t="str">
        <f t="shared" si="1"/>
        <v>#VALUE!</v>
      </c>
      <c r="H72" s="7" t="str">
        <f t="shared" si="2"/>
        <v>#VALUE!</v>
      </c>
      <c r="I72" s="7" t="str">
        <f t="shared" si="3"/>
        <v>#VALUE!</v>
      </c>
      <c r="J72" s="8" t="str">
        <f t="shared" si="4"/>
        <v/>
      </c>
      <c r="K72" s="17"/>
      <c r="L72" s="17"/>
      <c r="M72" s="17"/>
      <c r="N72" s="17"/>
      <c r="O72" s="17"/>
      <c r="P72" s="3"/>
      <c r="Q72" s="17"/>
      <c r="R72" s="3"/>
      <c r="S72" s="3"/>
      <c r="T72" s="5"/>
      <c r="U72" s="5"/>
      <c r="V72" s="5"/>
      <c r="W72" s="5"/>
    </row>
    <row r="73">
      <c r="A73" s="20"/>
      <c r="B73" s="21"/>
      <c r="C73" s="22"/>
      <c r="D73" s="22"/>
      <c r="E73" s="22"/>
      <c r="F73" s="23"/>
      <c r="G73" s="7" t="str">
        <f t="shared" si="1"/>
        <v>#VALUE!</v>
      </c>
      <c r="H73" s="7" t="str">
        <f t="shared" si="2"/>
        <v>#VALUE!</v>
      </c>
      <c r="I73" s="7" t="str">
        <f t="shared" si="3"/>
        <v>#VALUE!</v>
      </c>
      <c r="J73" s="8" t="str">
        <f t="shared" si="4"/>
        <v/>
      </c>
      <c r="K73" s="17"/>
      <c r="L73" s="17"/>
      <c r="M73" s="17"/>
      <c r="N73" s="17"/>
      <c r="O73" s="17"/>
      <c r="P73" s="3"/>
      <c r="Q73" s="17"/>
      <c r="R73" s="3"/>
      <c r="S73" s="17"/>
      <c r="T73" s="5"/>
      <c r="U73" s="5"/>
      <c r="V73" s="5"/>
      <c r="W73" s="5"/>
    </row>
    <row r="74">
      <c r="A74" s="20"/>
      <c r="B74" s="21"/>
      <c r="C74" s="22"/>
      <c r="D74" s="22"/>
      <c r="E74" s="22"/>
      <c r="F74" s="23"/>
      <c r="G74" s="7" t="str">
        <f t="shared" si="1"/>
        <v>#VALUE!</v>
      </c>
      <c r="H74" s="7" t="str">
        <f t="shared" si="2"/>
        <v>#VALUE!</v>
      </c>
      <c r="I74" s="7" t="str">
        <f t="shared" si="3"/>
        <v>#VALUE!</v>
      </c>
      <c r="J74" s="8" t="str">
        <f t="shared" si="4"/>
        <v/>
      </c>
      <c r="K74" s="17"/>
      <c r="L74" s="17"/>
      <c r="M74" s="17"/>
      <c r="N74" s="17"/>
      <c r="O74" s="17"/>
      <c r="P74" s="3"/>
      <c r="Q74" s="17"/>
      <c r="R74" s="3"/>
      <c r="S74" s="17"/>
      <c r="T74" s="5"/>
      <c r="U74" s="5"/>
      <c r="V74" s="5"/>
      <c r="W74" s="5"/>
    </row>
    <row r="75">
      <c r="A75" s="20"/>
      <c r="B75" s="21"/>
      <c r="C75" s="22"/>
      <c r="D75" s="22"/>
      <c r="E75" s="22"/>
      <c r="F75" s="23"/>
      <c r="G75" s="7" t="str">
        <f t="shared" si="1"/>
        <v>#VALUE!</v>
      </c>
      <c r="H75" s="7" t="str">
        <f t="shared" si="2"/>
        <v>#VALUE!</v>
      </c>
      <c r="I75" s="7" t="str">
        <f t="shared" si="3"/>
        <v>#VALUE!</v>
      </c>
      <c r="J75" s="8" t="str">
        <f t="shared" si="4"/>
        <v/>
      </c>
      <c r="K75" s="17"/>
      <c r="L75" s="17"/>
      <c r="M75" s="17"/>
      <c r="N75" s="17"/>
      <c r="O75" s="17"/>
      <c r="P75" s="3"/>
      <c r="Q75" s="17"/>
      <c r="R75" s="3"/>
      <c r="S75" s="17"/>
      <c r="T75" s="5"/>
      <c r="U75" s="5"/>
      <c r="V75" s="5"/>
      <c r="W75" s="5"/>
    </row>
    <row r="76">
      <c r="A76" s="20"/>
      <c r="B76" s="21"/>
      <c r="C76" s="22"/>
      <c r="D76" s="22"/>
      <c r="E76" s="22"/>
      <c r="F76" s="23"/>
      <c r="G76" s="7" t="str">
        <f t="shared" si="1"/>
        <v>#VALUE!</v>
      </c>
      <c r="H76" s="7" t="str">
        <f t="shared" si="2"/>
        <v>#VALUE!</v>
      </c>
      <c r="I76" s="7" t="str">
        <f t="shared" si="3"/>
        <v>#VALUE!</v>
      </c>
      <c r="J76" s="8" t="str">
        <f t="shared" si="4"/>
        <v/>
      </c>
      <c r="K76" s="17"/>
      <c r="L76" s="17"/>
      <c r="M76" s="17"/>
      <c r="N76" s="17"/>
      <c r="O76" s="17"/>
      <c r="P76" s="3"/>
      <c r="Q76" s="17"/>
      <c r="R76" s="3"/>
      <c r="S76" s="17"/>
      <c r="T76" s="5"/>
      <c r="U76" s="5"/>
      <c r="V76" s="5"/>
      <c r="W76" s="5"/>
    </row>
    <row r="77">
      <c r="A77" s="20"/>
      <c r="B77" s="21"/>
      <c r="C77" s="22"/>
      <c r="D77" s="22"/>
      <c r="E77" s="22"/>
      <c r="F77" s="23"/>
      <c r="G77" s="7" t="str">
        <f t="shared" si="1"/>
        <v>#VALUE!</v>
      </c>
      <c r="H77" s="7" t="str">
        <f t="shared" si="2"/>
        <v>#VALUE!</v>
      </c>
      <c r="I77" s="7" t="str">
        <f t="shared" si="3"/>
        <v>#VALUE!</v>
      </c>
      <c r="J77" s="8" t="str">
        <f t="shared" si="4"/>
        <v/>
      </c>
      <c r="K77" s="17"/>
      <c r="L77" s="17"/>
      <c r="M77" s="17"/>
      <c r="N77" s="17"/>
      <c r="O77" s="17"/>
      <c r="P77" s="5"/>
      <c r="Q77" s="17"/>
      <c r="R77" s="3"/>
      <c r="S77" s="17"/>
      <c r="T77" s="5"/>
      <c r="U77" s="5"/>
      <c r="V77" s="5"/>
      <c r="W77" s="5"/>
    </row>
    <row r="78">
      <c r="A78" s="20"/>
      <c r="B78" s="21"/>
      <c r="C78" s="22"/>
      <c r="D78" s="22"/>
      <c r="E78" s="22"/>
      <c r="F78" s="23"/>
      <c r="G78" s="7" t="str">
        <f t="shared" si="1"/>
        <v>#VALUE!</v>
      </c>
      <c r="H78" s="7" t="str">
        <f t="shared" si="2"/>
        <v>#VALUE!</v>
      </c>
      <c r="I78" s="7" t="str">
        <f t="shared" si="3"/>
        <v>#VALUE!</v>
      </c>
      <c r="J78" s="8" t="str">
        <f t="shared" si="4"/>
        <v/>
      </c>
      <c r="K78" s="17"/>
      <c r="L78" s="17"/>
      <c r="M78" s="17"/>
      <c r="N78" s="17"/>
      <c r="O78" s="17"/>
      <c r="P78" s="5"/>
      <c r="Q78" s="17"/>
      <c r="R78" s="3"/>
      <c r="S78" s="17"/>
      <c r="T78" s="5"/>
      <c r="U78" s="5"/>
      <c r="V78" s="5"/>
      <c r="W78" s="5"/>
    </row>
    <row r="79">
      <c r="A79" s="20"/>
      <c r="B79" s="21"/>
      <c r="C79" s="22"/>
      <c r="D79" s="22"/>
      <c r="E79" s="22"/>
      <c r="F79" s="23"/>
      <c r="G79" s="7" t="str">
        <f t="shared" si="1"/>
        <v>#VALUE!</v>
      </c>
      <c r="H79" s="7" t="str">
        <f t="shared" si="2"/>
        <v>#VALUE!</v>
      </c>
      <c r="I79" s="7" t="str">
        <f t="shared" si="3"/>
        <v>#VALUE!</v>
      </c>
      <c r="J79" s="8" t="str">
        <f t="shared" si="4"/>
        <v/>
      </c>
      <c r="K79" s="17"/>
      <c r="L79" s="17"/>
      <c r="M79" s="17"/>
      <c r="N79" s="17"/>
      <c r="O79" s="17"/>
      <c r="P79" s="5"/>
      <c r="Q79" s="17"/>
      <c r="R79" s="17"/>
      <c r="S79" s="17"/>
      <c r="T79" s="5"/>
      <c r="U79" s="5"/>
      <c r="V79" s="5"/>
      <c r="W79" s="5"/>
    </row>
    <row r="80">
      <c r="A80" s="20"/>
      <c r="B80" s="21"/>
      <c r="C80" s="22"/>
      <c r="D80" s="22"/>
      <c r="E80" s="22"/>
      <c r="F80" s="23"/>
      <c r="G80" s="7" t="str">
        <f t="shared" si="1"/>
        <v>#VALUE!</v>
      </c>
      <c r="H80" s="7" t="str">
        <f t="shared" si="2"/>
        <v>#VALUE!</v>
      </c>
      <c r="I80" s="7" t="str">
        <f t="shared" si="3"/>
        <v>#VALUE!</v>
      </c>
      <c r="J80" s="8" t="str">
        <f t="shared" si="4"/>
        <v/>
      </c>
      <c r="K80" s="17"/>
      <c r="L80" s="17"/>
      <c r="M80" s="17"/>
      <c r="N80" s="17"/>
      <c r="O80" s="17"/>
      <c r="P80" s="5"/>
      <c r="Q80" s="17"/>
      <c r="R80" s="17"/>
      <c r="S80" s="17"/>
      <c r="T80" s="5"/>
      <c r="U80" s="5"/>
      <c r="V80" s="5"/>
      <c r="W80" s="5"/>
    </row>
    <row r="81">
      <c r="A81" s="20"/>
      <c r="B81" s="21"/>
      <c r="C81" s="22"/>
      <c r="D81" s="22"/>
      <c r="E81" s="22"/>
      <c r="F81" s="23"/>
      <c r="G81" s="7" t="str">
        <f t="shared" si="1"/>
        <v>#VALUE!</v>
      </c>
      <c r="H81" s="7" t="str">
        <f t="shared" si="2"/>
        <v>#VALUE!</v>
      </c>
      <c r="I81" s="7" t="str">
        <f t="shared" si="3"/>
        <v>#VALUE!</v>
      </c>
      <c r="J81" s="8" t="str">
        <f t="shared" si="4"/>
        <v/>
      </c>
      <c r="K81" s="17"/>
      <c r="L81" s="17"/>
      <c r="M81" s="17"/>
      <c r="N81" s="17"/>
      <c r="O81" s="17"/>
      <c r="P81" s="5"/>
      <c r="Q81" s="17"/>
      <c r="R81" s="17"/>
      <c r="S81" s="17"/>
      <c r="T81" s="5"/>
      <c r="U81" s="5"/>
      <c r="V81" s="5"/>
      <c r="W81" s="5"/>
    </row>
    <row r="82">
      <c r="A82" s="20"/>
      <c r="C82" s="22"/>
      <c r="D82" s="22"/>
      <c r="E82" s="22"/>
      <c r="F82" s="23"/>
      <c r="G82" s="7" t="str">
        <f t="shared" si="1"/>
        <v>#VALUE!</v>
      </c>
      <c r="H82" s="7" t="str">
        <f t="shared" si="2"/>
        <v>#VALUE!</v>
      </c>
      <c r="I82" s="7" t="str">
        <f t="shared" si="3"/>
        <v>#VALUE!</v>
      </c>
      <c r="J82" s="8" t="str">
        <f t="shared" si="4"/>
        <v/>
      </c>
      <c r="K82" s="17"/>
      <c r="L82" s="17"/>
      <c r="M82" s="17"/>
      <c r="N82" s="17"/>
      <c r="O82" s="17"/>
      <c r="P82" s="5"/>
      <c r="Q82" s="17"/>
      <c r="R82" s="17"/>
      <c r="S82" s="17"/>
      <c r="T82" s="5"/>
      <c r="U82" s="5"/>
      <c r="V82" s="5"/>
      <c r="W82" s="5"/>
    </row>
    <row r="83">
      <c r="A83" s="20"/>
      <c r="C83" s="22"/>
      <c r="D83" s="22"/>
      <c r="E83" s="22"/>
      <c r="F83" s="23"/>
      <c r="G83" s="7" t="str">
        <f t="shared" si="1"/>
        <v>#VALUE!</v>
      </c>
      <c r="H83" s="7" t="str">
        <f t="shared" si="2"/>
        <v>#VALUE!</v>
      </c>
      <c r="I83" s="7" t="str">
        <f t="shared" si="3"/>
        <v>#VALUE!</v>
      </c>
      <c r="J83" s="8" t="str">
        <f t="shared" si="4"/>
        <v/>
      </c>
      <c r="K83" s="17"/>
      <c r="L83" s="17"/>
      <c r="M83" s="17"/>
      <c r="N83" s="17"/>
      <c r="O83" s="17"/>
      <c r="P83" s="5"/>
      <c r="Q83" s="17"/>
      <c r="R83" s="17"/>
      <c r="S83" s="17"/>
      <c r="T83" s="5"/>
      <c r="U83" s="5"/>
      <c r="V83" s="5"/>
      <c r="W83" s="5"/>
    </row>
    <row r="84">
      <c r="A84" s="20"/>
      <c r="C84" s="22"/>
      <c r="D84" s="22"/>
      <c r="E84" s="22"/>
      <c r="F84" s="23"/>
      <c r="G84" s="7" t="str">
        <f t="shared" si="1"/>
        <v>#VALUE!</v>
      </c>
      <c r="H84" s="7" t="str">
        <f t="shared" si="2"/>
        <v>#VALUE!</v>
      </c>
      <c r="I84" s="7" t="str">
        <f t="shared" si="3"/>
        <v>#VALUE!</v>
      </c>
      <c r="J84" s="8" t="str">
        <f t="shared" si="4"/>
        <v/>
      </c>
      <c r="K84" s="17"/>
      <c r="L84" s="17"/>
      <c r="M84" s="17"/>
      <c r="N84" s="17"/>
      <c r="O84" s="17"/>
      <c r="P84" s="5"/>
      <c r="Q84" s="17"/>
      <c r="R84" s="17"/>
      <c r="S84" s="17"/>
      <c r="T84" s="5"/>
      <c r="U84" s="5"/>
      <c r="V84" s="5"/>
      <c r="W84" s="5"/>
    </row>
    <row r="85">
      <c r="A85" s="20"/>
      <c r="C85" s="22"/>
      <c r="D85" s="22"/>
      <c r="E85" s="22"/>
      <c r="F85" s="23"/>
      <c r="G85" s="7" t="str">
        <f t="shared" si="1"/>
        <v>#VALUE!</v>
      </c>
      <c r="H85" s="7" t="str">
        <f t="shared" si="2"/>
        <v>#VALUE!</v>
      </c>
      <c r="I85" s="7" t="str">
        <f t="shared" si="3"/>
        <v>#VALUE!</v>
      </c>
      <c r="J85" s="8" t="str">
        <f t="shared" si="4"/>
        <v/>
      </c>
      <c r="K85" s="17"/>
      <c r="L85" s="17"/>
      <c r="M85" s="17"/>
      <c r="N85" s="17"/>
      <c r="O85" s="17"/>
      <c r="P85" s="5"/>
      <c r="Q85" s="17"/>
      <c r="R85" s="17"/>
      <c r="S85" s="17"/>
      <c r="T85" s="5"/>
      <c r="U85" s="5"/>
      <c r="V85" s="5"/>
      <c r="W85" s="5"/>
    </row>
    <row r="86">
      <c r="A86" s="20"/>
      <c r="C86" s="22"/>
      <c r="D86" s="22"/>
      <c r="E86" s="22"/>
      <c r="F86" s="23"/>
      <c r="G86" s="7" t="str">
        <f t="shared" si="1"/>
        <v>#VALUE!</v>
      </c>
      <c r="H86" s="7" t="str">
        <f t="shared" si="2"/>
        <v>#VALUE!</v>
      </c>
      <c r="I86" s="7" t="str">
        <f t="shared" si="3"/>
        <v>#VALUE!</v>
      </c>
      <c r="J86" s="8" t="str">
        <f t="shared" si="4"/>
        <v/>
      </c>
      <c r="K86" s="17"/>
      <c r="L86" s="17"/>
      <c r="M86" s="17"/>
      <c r="N86" s="17"/>
      <c r="O86" s="17"/>
      <c r="P86" s="5"/>
      <c r="Q86" s="17"/>
      <c r="R86" s="17"/>
      <c r="S86" s="17"/>
      <c r="T86" s="5"/>
      <c r="U86" s="5"/>
      <c r="V86" s="5"/>
      <c r="W86" s="5"/>
    </row>
    <row r="87">
      <c r="A87" s="20"/>
      <c r="C87" s="22"/>
      <c r="D87" s="22"/>
      <c r="E87" s="22"/>
      <c r="F87" s="23"/>
      <c r="G87" s="7" t="str">
        <f t="shared" si="1"/>
        <v>#VALUE!</v>
      </c>
      <c r="H87" s="7" t="str">
        <f t="shared" si="2"/>
        <v>#VALUE!</v>
      </c>
      <c r="I87" s="7" t="str">
        <f t="shared" si="3"/>
        <v>#VALUE!</v>
      </c>
      <c r="J87" s="8" t="str">
        <f t="shared" si="4"/>
        <v/>
      </c>
      <c r="K87" s="17"/>
      <c r="L87" s="17"/>
      <c r="M87" s="17"/>
      <c r="N87" s="17"/>
      <c r="O87" s="17"/>
      <c r="P87" s="5"/>
      <c r="Q87" s="17"/>
      <c r="R87" s="17"/>
      <c r="S87" s="17"/>
      <c r="T87" s="5"/>
      <c r="U87" s="5"/>
      <c r="V87" s="5"/>
      <c r="W87" s="5"/>
    </row>
    <row r="88">
      <c r="A88" s="20"/>
      <c r="C88" s="22"/>
      <c r="D88" s="22"/>
      <c r="E88" s="22"/>
      <c r="F88" s="23"/>
      <c r="G88" s="7" t="str">
        <f t="shared" si="1"/>
        <v>#VALUE!</v>
      </c>
      <c r="H88" s="7" t="str">
        <f t="shared" si="2"/>
        <v>#VALUE!</v>
      </c>
      <c r="I88" s="7" t="str">
        <f t="shared" si="3"/>
        <v>#VALUE!</v>
      </c>
      <c r="J88" s="8" t="str">
        <f t="shared" si="4"/>
        <v/>
      </c>
      <c r="K88" s="17"/>
      <c r="L88" s="17"/>
      <c r="M88" s="17"/>
      <c r="N88" s="17"/>
      <c r="O88" s="17"/>
      <c r="P88" s="5"/>
      <c r="Q88" s="17"/>
      <c r="R88" s="17"/>
      <c r="S88" s="17"/>
      <c r="T88" s="5"/>
      <c r="U88" s="5"/>
      <c r="V88" s="5"/>
      <c r="W88" s="5"/>
    </row>
    <row r="89">
      <c r="A89" s="20"/>
      <c r="C89" s="22"/>
      <c r="D89" s="22"/>
      <c r="E89" s="22"/>
      <c r="F89" s="23"/>
      <c r="G89" s="7" t="str">
        <f t="shared" si="1"/>
        <v>#VALUE!</v>
      </c>
      <c r="H89" s="7" t="str">
        <f t="shared" si="2"/>
        <v>#VALUE!</v>
      </c>
      <c r="I89" s="7" t="str">
        <f t="shared" si="3"/>
        <v>#VALUE!</v>
      </c>
      <c r="J89" s="8" t="str">
        <f t="shared" si="4"/>
        <v/>
      </c>
      <c r="K89" s="17"/>
      <c r="L89" s="17"/>
      <c r="M89" s="17"/>
      <c r="N89" s="17"/>
      <c r="O89" s="17"/>
      <c r="P89" s="5"/>
      <c r="Q89" s="17"/>
      <c r="R89" s="17"/>
      <c r="S89" s="17"/>
      <c r="T89" s="5"/>
      <c r="U89" s="5"/>
      <c r="V89" s="5"/>
      <c r="W89" s="5"/>
    </row>
    <row r="90">
      <c r="A90" s="20"/>
      <c r="C90" s="22"/>
      <c r="D90" s="22"/>
      <c r="E90" s="22"/>
      <c r="F90" s="23"/>
      <c r="G90" s="7" t="str">
        <f t="shared" si="1"/>
        <v>#VALUE!</v>
      </c>
      <c r="H90" s="7" t="str">
        <f t="shared" si="2"/>
        <v>#VALUE!</v>
      </c>
      <c r="I90" s="7" t="str">
        <f t="shared" si="3"/>
        <v>#VALUE!</v>
      </c>
      <c r="J90" s="8" t="str">
        <f t="shared" si="4"/>
        <v/>
      </c>
      <c r="K90" s="17"/>
      <c r="L90" s="17"/>
      <c r="M90" s="17"/>
      <c r="N90" s="17"/>
      <c r="O90" s="17"/>
      <c r="P90" s="5"/>
      <c r="Q90" s="17"/>
      <c r="R90" s="17"/>
      <c r="S90" s="17"/>
      <c r="T90" s="5"/>
      <c r="U90" s="5"/>
      <c r="V90" s="5"/>
      <c r="W90" s="5"/>
    </row>
  </sheetData>
  <mergeCells count="4">
    <mergeCell ref="A2:F2"/>
    <mergeCell ref="A3:F3"/>
    <mergeCell ref="A4:F4"/>
    <mergeCell ref="A1:B1"/>
  </mergeCells>
  <dataValidations>
    <dataValidation type="list" allowBlank="1" showErrorMessage="1" sqref="K2:W4">
      <formula1>pontozas!$A$8:$A$23</formula1>
    </dataValidation>
  </dataValidations>
  <hyperlinks>
    <hyperlink r:id="rId1" location="leagueIds=5419&amp;sportId=12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8.25"/>
    <col customWidth="1" min="3" max="3" width="7.63"/>
  </cols>
  <sheetData>
    <row r="1">
      <c r="A1" s="9" t="s">
        <v>87</v>
      </c>
      <c r="B1" s="9" t="s">
        <v>88</v>
      </c>
      <c r="C1" s="9" t="s">
        <v>89</v>
      </c>
    </row>
    <row r="2">
      <c r="A2" s="9">
        <f>if(row()-1&lt;=(columns(pont!$A$2:$O$2)-countblank(pont!$A$2:$O$2)),row()-1,"")</f>
        <v>1</v>
      </c>
      <c r="B2" t="str">
        <f t="array" ref="B2">iferror(INDEX(pont!$B$1:$O$1,MATCH(C2,pont!$B$2:$O$2,0)),"")</f>
        <v>Csiszi</v>
      </c>
      <c r="C2">
        <f>iferror(large(pont!$B$2:$O$2,A2),"")</f>
        <v>82.16</v>
      </c>
    </row>
    <row r="3">
      <c r="A3" s="9">
        <f>if(row()-1&lt;=(columns(pont!$A$2:$O$2)-countblank(pont!$A$2:$O$2)),row()-1,"")</f>
        <v>2</v>
      </c>
      <c r="B3" t="str">
        <f t="array" ref="B3">iferror(INDEX(pont!$B$1:$O$1,MATCH(C3,pont!$B$2:$O$2,0)),"")</f>
        <v>Kinga</v>
      </c>
      <c r="C3">
        <f>iferror(large(pont!$B$2:$O$2,A3),"")</f>
        <v>81.62</v>
      </c>
    </row>
    <row r="4">
      <c r="A4" s="9">
        <f>if(row()-1&lt;=(columns(pont!$A$2:$O$2)-countblank(pont!$A$2:$O$2)),row()-1,"")</f>
        <v>3</v>
      </c>
      <c r="B4" t="str">
        <f t="array" ref="B4">iferror(INDEX(pont!$B$1:$O$1,MATCH(C4,pont!$B$2:$O$2,0)),"")</f>
        <v>Benő</v>
      </c>
      <c r="C4">
        <f>iferror(large(pont!$B$2:$O$2,A4),"")</f>
        <v>79.04</v>
      </c>
    </row>
    <row r="5">
      <c r="A5" s="9">
        <f>if(row()-1&lt;=(columns(pont!$A$2:$O$2)-countblank(pont!$A$2:$O$2)),row()-1,"")</f>
        <v>4</v>
      </c>
      <c r="B5" t="str">
        <f t="array" ref="B5">iferror(INDEX(pont!$B$1:$O$1,MATCH(C5,pont!$B$2:$O$2,0)),"")</f>
        <v>Tomi</v>
      </c>
      <c r="C5">
        <f>iferror(large(pont!$B$2:$O$2,A5),"")</f>
        <v>73.08</v>
      </c>
    </row>
    <row r="6">
      <c r="A6" s="9">
        <f>if(row()-1&lt;=(columns(pont!$A$2:$O$2)-countblank(pont!$A$2:$O$2)),row()-1,"")</f>
        <v>5</v>
      </c>
      <c r="B6" t="str">
        <f t="array" ref="B6">iferror(INDEX(pont!$B$1:$O$1,MATCH(C6,pont!$B$2:$O$2,0)),"")</f>
        <v>Viki</v>
      </c>
      <c r="C6">
        <f>iferror(large(pont!$B$2:$O$2,A6),"")</f>
        <v>63.73</v>
      </c>
    </row>
    <row r="7">
      <c r="A7" s="9">
        <f>if(row()-1&lt;=(columns(pont!$A$2:$O$2)-countblank(pont!$A$2:$O$2)),row()-1,"")</f>
        <v>6</v>
      </c>
      <c r="B7" t="str">
        <f t="array" ref="B7">iferror(INDEX(pont!$B$1:$O$1,MATCH(C7,pont!$B$2:$O$2,0)),"")</f>
        <v>Geri</v>
      </c>
      <c r="C7">
        <f>iferror(large(pont!$B$2:$O$2,A7),"")</f>
        <v>63.02</v>
      </c>
    </row>
    <row r="8">
      <c r="A8" s="9">
        <f>if(row()-1&lt;=(columns(pont!$A$2:$O$2)-countblank(pont!$A$2:$O$2)),row()-1,"")</f>
        <v>7</v>
      </c>
      <c r="B8" t="str">
        <f t="array" ref="B8">iferror(INDEX(pont!$B$1:$O$1,MATCH(C8,pont!$B$2:$O$2,0)),"")</f>
        <v>Andris</v>
      </c>
      <c r="C8">
        <f>iferror(large(pont!$B$2:$O$2,A8),"")</f>
        <v>18.85</v>
      </c>
    </row>
    <row r="9">
      <c r="A9" s="9" t="str">
        <f>if(row()-1&lt;=(columns(pont!$A$2:$O$2)-countblank(pont!$A$2:$O$2)),row()-1,"")</f>
        <v/>
      </c>
      <c r="B9" t="str">
        <f t="array" ref="B9">iferror(INDEX(pont!$B$1:$O$1,MATCH(C9,pont!$B$2:$O$2,0)),"")</f>
        <v/>
      </c>
      <c r="C9" t="str">
        <f>iferror(large(pont!$B$2:$O$2,A9),"")</f>
        <v/>
      </c>
    </row>
    <row r="10">
      <c r="A10" s="9" t="str">
        <f>if(row()-1&lt;=(columns(pont!$A$2:$O$2)-countblank(pont!$A$2:$O$2)),row()-1,"")</f>
        <v/>
      </c>
      <c r="B10" t="str">
        <f t="array" ref="B10">iferror(INDEX(pont!$B$1:$O$1,MATCH(C10,pont!$B$2:$O$2,0)),"")</f>
        <v/>
      </c>
      <c r="C10" s="24" t="str">
        <f>iferror(large(pont!$B$2:$O$2,A10),"")</f>
        <v/>
      </c>
    </row>
    <row r="11">
      <c r="A11" s="9" t="str">
        <f>if(row()-1&lt;=(columns(pont!$A$2:$O$2)-countblank(pont!$A$2:$O$2)),row()-1,"")</f>
        <v/>
      </c>
      <c r="B11" t="str">
        <f t="array" ref="B11">iferror(INDEX(pont!$B$1:$O$1,MATCH(C11,pont!$B$2:$O$2,0)),"")</f>
        <v/>
      </c>
      <c r="C11" t="str">
        <f>iferror(large(pont!$B$2:$O$2,A11),"")</f>
        <v/>
      </c>
    </row>
    <row r="12">
      <c r="A12" s="9" t="str">
        <f>if(row()-1&lt;=(columns(pont!$A$2:$O$2)-countblank(pont!$A$2:$O$2)),row()-1,"")</f>
        <v/>
      </c>
      <c r="B12" t="str">
        <f t="array" ref="B12">iferror(INDEX(pont!$B$1:$O$1,MATCH(C12,pont!$B$2:$O$2,0)),"")</f>
        <v/>
      </c>
      <c r="C12" t="str">
        <f>iferror(large(pont!$B$2:$O$2,A12),"")</f>
        <v/>
      </c>
    </row>
    <row r="13">
      <c r="A13" s="9" t="str">
        <f>if(row()-1&lt;=(columns(pont!$A$2:$O$2)-countblank(pont!$A$2:$O$2)),row()-1,"")</f>
        <v/>
      </c>
      <c r="B13" t="str">
        <f t="array" ref="B13">iferror(INDEX(pont!$B$1:$O$1,MATCH(C13,pont!$B$2:$O$2,0)),"")</f>
        <v/>
      </c>
      <c r="C13" t="str">
        <f>iferror(large(pont!$B$2:$O$2,A13),"")</f>
        <v/>
      </c>
    </row>
    <row r="14">
      <c r="A14" s="9" t="str">
        <f>if(row()-1&lt;=(columns(pont!$A$2:$O$2)-countblank(pont!$A$2:$O$2)),row()-1,"")</f>
        <v/>
      </c>
      <c r="B14" t="str">
        <f t="array" ref="B14">iferror(INDEX(pont!$B$1:$O$1,MATCH(C14,pont!$B$2:$O$2,0)),"")</f>
        <v/>
      </c>
      <c r="C14" t="str">
        <f>iferror(large(pont!$B$2:$O$2,A14),"")</f>
        <v/>
      </c>
    </row>
    <row r="15">
      <c r="A15" s="9" t="str">
        <f>if(row()-1&lt;=(columns(pont!$A$2:$O$2)-countblank(pont!$A$2:$O$2)),row()-1,"")</f>
        <v/>
      </c>
      <c r="B15" t="str">
        <f t="array" ref="B15">iferror(INDEX(pont!$B$1:$O$1,MATCH(C15,pont!$B$2:$O$2,0)),"")</f>
        <v/>
      </c>
      <c r="C15" t="str">
        <f>iferror(large(pont!$B$2:$O$2,A15),"")</f>
        <v/>
      </c>
    </row>
    <row r="16">
      <c r="A16" s="9" t="str">
        <f>if(row()-1&lt;=(columns(pont!$A$2:$O$2)-countblank(pont!$A$2:$O$2)),row()-1,"")</f>
        <v/>
      </c>
      <c r="B16" t="str">
        <f t="array" ref="B16">iferror(INDEX(pont!$B$1:$O$1,MATCH(C16,pont!$B$2:$O$2,0)),"")</f>
        <v/>
      </c>
      <c r="C16" t="str">
        <f>iferror(large(pont!$B$2:$O$2,A16),"")</f>
        <v/>
      </c>
    </row>
    <row r="17">
      <c r="A17" s="9" t="str">
        <f>if(row()-1&lt;=(columns(pont!$A$2:$O$2)-countblank(pont!$A$2:$O$2)),row()-1,"")</f>
        <v/>
      </c>
      <c r="B17" t="str">
        <f t="array" ref="B17">iferror(INDEX(pont!$B$1:$O$1,MATCH(C17,pont!$B$2:$O$2,0)),"")</f>
        <v/>
      </c>
      <c r="C17" t="str">
        <f>iferror(large(pont!$B$2:$O$2,A17),"")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13"/>
    <col customWidth="1" min="2" max="15" width="7.13"/>
  </cols>
  <sheetData>
    <row r="1">
      <c r="A1" s="25" t="s">
        <v>90</v>
      </c>
      <c r="B1" s="5" t="str">
        <f>if(isblank(tipp!K1),"",tipp!K1)</f>
        <v>Csiszi</v>
      </c>
      <c r="C1" s="5" t="str">
        <f>if(isblank(tipp!L1),"",tipp!L1)</f>
        <v>Viki</v>
      </c>
      <c r="D1" s="5" t="str">
        <f>if(isblank(tipp!M1),"",tipp!M1)</f>
        <v>Kinga</v>
      </c>
      <c r="E1" s="5" t="str">
        <f>if(isblank(tipp!N1),"",tipp!N1)</f>
        <v>Tomi</v>
      </c>
      <c r="F1" s="5" t="str">
        <f>if(isblank(tipp!O1),"",tipp!O1)</f>
        <v>Benő</v>
      </c>
      <c r="G1" t="str">
        <f>if(isblank(tipp!P1),"",tipp!P1)</f>
        <v/>
      </c>
      <c r="H1" s="5" t="str">
        <f>if(isblank(tipp!Q1),"",tipp!Q1)</f>
        <v>Geri</v>
      </c>
      <c r="I1" s="5" t="str">
        <f>if(isblank(tipp!R1),"",tipp!R1)</f>
        <v>Andris</v>
      </c>
      <c r="J1" t="str">
        <f>if(isblank(tipp!S1),"",tipp!S1)</f>
        <v/>
      </c>
      <c r="K1" t="str">
        <f>if(isblank(tipp!T1),"",tipp!T1)</f>
        <v/>
      </c>
      <c r="L1" t="str">
        <f>if(isblank(tipp!U1),"",tipp!U1)</f>
        <v/>
      </c>
      <c r="M1" t="str">
        <f>if(isblank(tipp!V1),"",tipp!V1)</f>
        <v/>
      </c>
    </row>
    <row r="2">
      <c r="B2">
        <f t="shared" ref="B2:F2" si="1">if(B1="","",sum(B3:B83))</f>
        <v>82.16</v>
      </c>
      <c r="C2">
        <f t="shared" si="1"/>
        <v>63.73</v>
      </c>
      <c r="D2">
        <f t="shared" si="1"/>
        <v>81.62</v>
      </c>
      <c r="E2">
        <f t="shared" si="1"/>
        <v>73.08</v>
      </c>
      <c r="F2">
        <f t="shared" si="1"/>
        <v>79.04</v>
      </c>
      <c r="G2" t="str">
        <f>if(G1="","",sum(G6:G83))</f>
        <v/>
      </c>
      <c r="H2">
        <f t="shared" ref="H2:J2" si="2">if(H1="","",sum(H3:H83))</f>
        <v>63.02</v>
      </c>
      <c r="I2">
        <f t="shared" si="2"/>
        <v>18.85</v>
      </c>
      <c r="J2" t="str">
        <f t="shared" si="2"/>
        <v/>
      </c>
      <c r="K2" t="str">
        <f t="shared" ref="K2:O2" si="3">if(K1="","",sum(K6:K83))</f>
        <v/>
      </c>
      <c r="L2" t="str">
        <f t="shared" si="3"/>
        <v/>
      </c>
      <c r="M2" t="str">
        <f t="shared" si="3"/>
        <v/>
      </c>
      <c r="N2" t="str">
        <f t="shared" si="3"/>
        <v/>
      </c>
      <c r="O2" t="str">
        <f t="shared" si="3"/>
        <v/>
      </c>
    </row>
    <row r="3">
      <c r="A3" s="26" t="s">
        <v>91</v>
      </c>
      <c r="B3">
        <f>if(B$1&lt;&gt;"",if(tipp!K2=pontozas!$B25,pontozas!$B$5,0)+if(countif(pontozas!$B$25:$D$27,tipp!K2)&gt;0,pontozas!$B$4,0),"")</f>
        <v>4</v>
      </c>
      <c r="C3">
        <f>if(C$1&lt;&gt;"",if(tipp!L2=pontozas!$B25,pontozas!$B$5,0)+if(countif(pontozas!$B$25:$D$27,tipp!L2)&gt;0,pontozas!$B$4,0),"")</f>
        <v>0</v>
      </c>
      <c r="D3">
        <f>if(D$1&lt;&gt;"",if(tipp!M2=pontozas!$B25,pontozas!$B$5,0)+if(countif(pontozas!$B$25:$D$27,tipp!M2)&gt;0,pontozas!$B$4,0),"")</f>
        <v>0</v>
      </c>
      <c r="E3">
        <f>if(E$1&lt;&gt;"",if(tipp!N2=pontozas!$B25,pontozas!$B$5,0)+if(countif(pontozas!$B$25:$D$27,tipp!N2)&gt;0,pontozas!$B$4,0),"")</f>
        <v>4</v>
      </c>
      <c r="F3">
        <f>if(F$1&lt;&gt;"",if(tipp!O2=pontozas!$B25,pontozas!$B$5,0)+if(countif(pontozas!$B$25:$D$27,tipp!O2)&gt;0,pontozas!$B$4,0),"")</f>
        <v>2</v>
      </c>
      <c r="G3" t="str">
        <f>if(G$1&lt;&gt;"",if(tipp!P2=pontozas!$B25,pontozas!$B$5,0)+if(countif(pontozas!$B$25:$D$27,tipp!P2)&gt;0,pontozas!$B$4,0),"")</f>
        <v/>
      </c>
      <c r="H3">
        <f>if(H$1&lt;&gt;"",if(tipp!Q2=pontozas!$B25,pontozas!$B$5,0)+if(countif(pontozas!$B$25:$D$27,tipp!Q2)&gt;0,pontozas!$B$4,0),"")</f>
        <v>0</v>
      </c>
      <c r="I3">
        <f>if(I$1&lt;&gt;"",if(tipp!R2=pontozas!$B25,pontozas!$B$5,0)+if(countif(pontozas!$B$25:$D$27,tipp!R2)&gt;0,pontozas!$B$4,0),"")</f>
        <v>0</v>
      </c>
      <c r="J3" t="str">
        <f>if(J$1&lt;&gt;"",if(tipp!S2=pontozas!$B25,pontozas!$B$5,0)+if(countif(pontozas!$B$25:$D$27,tipp!S2)&gt;0,pontozas!$B$4,0),"")</f>
        <v/>
      </c>
      <c r="K3" t="str">
        <f>if(K$1&lt;&gt;"",if(tipp!T2=pontozas!$B25,pontozas!$B$5,0)+if(countif(pontozas!$B$25:$D$27,tipp!T2)&gt;0,pontozas!$B$4,0),"")</f>
        <v/>
      </c>
      <c r="L3" t="str">
        <f>if(L$1&lt;&gt;"",if(tipp!U2=pontozas!$B25,pontozas!$B$5,0)+if(countif(pontozas!$B$25:$D$27,tipp!U2)&gt;0,pontozas!$B$4,0),"")</f>
        <v/>
      </c>
      <c r="M3" t="str">
        <f>if(M$1&lt;&gt;"",if(tipp!V2=pontozas!$B25,pontozas!$B$5,0)+if(countif(pontozas!$B$25:$D$27,tipp!V2)&gt;0,pontozas!$B$4,0),"")</f>
        <v/>
      </c>
      <c r="N3" t="str">
        <f>if(N$1&lt;&gt;"",if(tipp!W2=pontozas!$B25,pontozas!$B$5,0)+if(countif(pontozas!$B$25:$D$27,tipp!W2)&gt;0,pontozas!$B$4,0),"")</f>
        <v/>
      </c>
      <c r="O3" t="str">
        <f>if(O$1&lt;&gt;"",if(tipp!X2=pontozas!$B25,pontozas!$B$5,0)+if(countif(pontozas!$B$25:$D$27,tipp!X2)&gt;0,pontozas!$B$4,0),"")</f>
        <v/>
      </c>
    </row>
    <row r="4">
      <c r="A4" s="26" t="s">
        <v>92</v>
      </c>
      <c r="B4">
        <f>if(B$1&lt;&gt;"",if(tipp!K3=pontozas!$B26,pontozas!$B$5,0)+if(countif(pontozas!$B$25:$D$27,tipp!K3)&gt;0,pontozas!$B$4,0),"")</f>
        <v>0</v>
      </c>
      <c r="C4">
        <f>if(C$1&lt;&gt;"",if(tipp!L3=pontozas!$B26,pontozas!$B$5,0)+if(countif(pontozas!$B$25:$D$27,tipp!L3)&gt;0,pontozas!$B$4,0),"")</f>
        <v>0</v>
      </c>
      <c r="D4">
        <f>if(D$1&lt;&gt;"",if(tipp!M3=pontozas!$B26,pontozas!$B$5,0)+if(countif(pontozas!$B$25:$D$27,tipp!M3)&gt;0,pontozas!$B$4,0),"")</f>
        <v>2</v>
      </c>
      <c r="E4">
        <f>if(E$1&lt;&gt;"",if(tipp!N3=pontozas!$B26,pontozas!$B$5,0)+if(countif(pontozas!$B$25:$D$27,tipp!N3)&gt;0,pontozas!$B$4,0),"")</f>
        <v>0</v>
      </c>
      <c r="F4">
        <f>if(F$1&lt;&gt;"",if(tipp!O3=pontozas!$B26,pontozas!$B$5,0)+if(countif(pontozas!$B$25:$D$27,tipp!O3)&gt;0,pontozas!$B$4,0),"")</f>
        <v>0</v>
      </c>
      <c r="G4" t="str">
        <f>if(G$1&lt;&gt;"",if(tipp!P3=pontozas!$B26,pontozas!$B$5,0)+if(countif(pontozas!$B$25:$D$27,tipp!P3)&gt;0,pontozas!$B$4,0),"")</f>
        <v/>
      </c>
      <c r="H4">
        <f>if(H$1&lt;&gt;"",if(tipp!Q3=pontozas!$B26,pontozas!$B$5,0)+if(countif(pontozas!$B$25:$D$27,tipp!Q3)&gt;0,pontozas!$B$4,0),"")</f>
        <v>0</v>
      </c>
      <c r="I4">
        <f>if(I$1&lt;&gt;"",if(tipp!R3=pontozas!$B26,pontozas!$B$5,0)+if(countif(pontozas!$B$25:$D$27,tipp!R3)&gt;0,pontozas!$B$4,0),"")</f>
        <v>0</v>
      </c>
      <c r="J4" t="str">
        <f>if(J$1&lt;&gt;"",if(tipp!S3=pontozas!$B26,pontozas!$B$5,0)+if(countif(pontozas!$B$25:$D$27,tipp!S3)&gt;0,pontozas!$B$4,0),"")</f>
        <v/>
      </c>
      <c r="K4" t="str">
        <f>if(K$1&lt;&gt;"",if(tipp!T3=pontozas!$B26,pontozas!$B$5,0)+if(countif(pontozas!$B$25:$D$27,tipp!T3)&gt;0,pontozas!$B$4,0),"")</f>
        <v/>
      </c>
      <c r="L4" t="str">
        <f>if(L$1&lt;&gt;"",if(tipp!U3=pontozas!$B26,pontozas!$B$5,0)+if(countif(pontozas!$B$25:$D$27,tipp!U3)&gt;0,pontozas!$B$4,0),"")</f>
        <v/>
      </c>
      <c r="M4" t="str">
        <f>if(M$1&lt;&gt;"",if(tipp!V3=pontozas!$B26,pontozas!$B$5,0)+if(countif(pontozas!$B$25:$D$27,tipp!V3)&gt;0,pontozas!$B$4,0),"")</f>
        <v/>
      </c>
      <c r="N4" t="str">
        <f>if(N$1&lt;&gt;"",if(tipp!W3=pontozas!$B26,pontozas!$B$5,0)+if(countif(pontozas!$B$25:$D$27,tipp!W3)&gt;0,pontozas!$B$4,0),"")</f>
        <v/>
      </c>
      <c r="O4" t="str">
        <f>if(O$1&lt;&gt;"",if(tipp!X3=pontozas!$B26,pontozas!$B$5,0)+if(countif(pontozas!$B$25:$D$27,tipp!X3)&gt;0,pontozas!$B$4,0),"")</f>
        <v/>
      </c>
    </row>
    <row r="5">
      <c r="A5" s="26" t="s">
        <v>93</v>
      </c>
      <c r="B5">
        <f>if(B$1&lt;&gt;"",if(tipp!K4=pontozas!$B27,pontozas!$B$5,0)+if(countif(pontozas!$B$25:$D$27,tipp!K4)&gt;0,pontozas!$B$4,0),"")</f>
        <v>0</v>
      </c>
      <c r="C5">
        <f>if(C$1&lt;&gt;"",if(tipp!L4=pontozas!$B27,pontozas!$B$5,0)+if(countif(pontozas!$B$25:$D$27,tipp!L4)&gt;0,pontozas!$B$4,0),"")</f>
        <v>0</v>
      </c>
      <c r="D5">
        <f>if(D$1&lt;&gt;"",if(tipp!M4=pontozas!$B27,pontozas!$B$5,0)+if(countif(pontozas!$B$25:$D$27,tipp!M4)&gt;0,pontozas!$B$4,0),"")</f>
        <v>0</v>
      </c>
      <c r="E5">
        <f>if(E$1&lt;&gt;"",if(tipp!N4=pontozas!$B27,pontozas!$B$5,0)+if(countif(pontozas!$B$25:$D$27,tipp!N4)&gt;0,pontozas!$B$4,0),"")</f>
        <v>0</v>
      </c>
      <c r="F5">
        <f>if(F$1&lt;&gt;"",if(tipp!O4=pontozas!$B27,pontozas!$B$5,0)+if(countif(pontozas!$B$25:$D$27,tipp!O4)&gt;0,pontozas!$B$4,0),"")</f>
        <v>2</v>
      </c>
      <c r="G5" t="str">
        <f>if(G$1&lt;&gt;"",if(tipp!P4=pontozas!$B27,pontozas!$B$5,0)+if(countif(pontozas!$B$25:$D$27,tipp!P4)&gt;0,pontozas!$B$4,0),"")</f>
        <v/>
      </c>
      <c r="H5">
        <f>if(H$1&lt;&gt;"",if(tipp!Q4=pontozas!$B27,pontozas!$B$5,0)+if(countif(pontozas!$B$25:$D$27,tipp!Q4)&gt;0,pontozas!$B$4,0),"")</f>
        <v>0</v>
      </c>
      <c r="I5">
        <f>if(I$1&lt;&gt;"",if(tipp!R4=pontozas!$B27,pontozas!$B$5,0)+if(countif(pontozas!$B$25:$D$27,tipp!R4)&gt;0,pontozas!$B$4,0),"")</f>
        <v>0</v>
      </c>
      <c r="J5" t="str">
        <f>if(J$1&lt;&gt;"",if(tipp!S4=pontozas!$B27,pontozas!$B$5,0)+if(countif(pontozas!$B$25:$D$27,tipp!S4)&gt;0,pontozas!$B$4,0),"")</f>
        <v/>
      </c>
      <c r="K5" t="str">
        <f>if(K$1&lt;&gt;"",if(tipp!T4=pontozas!$B27,pontozas!$B$5,0)+if(countif(pontozas!$B$25:$D$27,tipp!T4)&gt;0,pontozas!$B$4,0),"")</f>
        <v/>
      </c>
      <c r="L5" t="str">
        <f>if(L$1&lt;&gt;"",if(tipp!U4=pontozas!$B27,pontozas!$B$5,0)+if(countif(pontozas!$B$25:$D$27,tipp!U4)&gt;0,pontozas!$B$4,0),"")</f>
        <v/>
      </c>
      <c r="M5" t="str">
        <f>if(M$1&lt;&gt;"",if(tipp!V4=pontozas!$B27,pontozas!$B$5,0)+if(countif(pontozas!$B$25:$D$27,tipp!V4)&gt;0,pontozas!$B$4,0),"")</f>
        <v/>
      </c>
      <c r="N5" t="str">
        <f>if(N$1&lt;&gt;"",if(tipp!W4=pontozas!$B27,pontozas!$B$5,0)+if(countif(pontozas!$B$25:$D$27,tipp!W4)&gt;0,pontozas!$B$4,0),"")</f>
        <v/>
      </c>
      <c r="O5" t="str">
        <f>if(O$1&lt;&gt;"",if(tipp!X4=pontozas!$B27,pontozas!$B$5,0)+if(countif(pontozas!$B$25:$D$27,tipp!X4)&gt;0,pontozas!$B$4,0),"")</f>
        <v/>
      </c>
    </row>
    <row r="6">
      <c r="A6" t="str">
        <f>CONCATENATE(tipp!A5&amp;" : "&amp;tipp!B5)</f>
        <v>Russia : France</v>
      </c>
      <c r="B6">
        <f>if(B$1&lt;&gt;"",iferror(if(if(left(tipp!K5,find(":",tipp!K5)-1)&gt;right(tipp!K5,(len(tipp!K5)-find(":",tipp!K5))),1,if(right(tipp!K5,(len(tipp!K5)-find(":",tipp!K5)))&gt;left(tipp!K5,find(":",tipp!K5)-1),2,"x"))=tipp!$I5,tipp!$J5*pontozas!$B$1)+if(left(tipp!K5,find(":",tipp!K5)-1)-right(tipp!K5,(len(tipp!K5)-find(":",tipp!K5)))=tipp!$G5-tipp!$H5,pontozas!$B$2,0)+if(tipp!K5=tipp!$F5,pontozas!$B$3),""),"")</f>
        <v>1.08</v>
      </c>
      <c r="C6">
        <f>if(C$1&lt;&gt;"",iferror(if(if(left(tipp!L5,find(":",tipp!L5)-1)&gt;right(tipp!L5,(len(tipp!L5)-find(":",tipp!L5))),1,if(right(tipp!L5,(len(tipp!L5)-find(":",tipp!L5)))&gt;left(tipp!L5,find(":",tipp!L5)-1),2,"x"))=tipp!$I5,tipp!$J5*pontozas!$B$1)+if(left(tipp!L5,find(":",tipp!L5)-1)-right(tipp!L5,(len(tipp!L5)-find(":",tipp!L5)))=tipp!$G5-tipp!$H5,pontozas!$B$2,0)+if(tipp!L5=tipp!$F5,pontozas!$B$3),""),"")</f>
        <v>1.08</v>
      </c>
      <c r="D6">
        <f>if(D$1&lt;&gt;"",iferror(if(if(left(tipp!M5,find(":",tipp!M5)-1)&gt;right(tipp!M5,(len(tipp!M5)-find(":",tipp!M5))),1,if(right(tipp!M5,(len(tipp!M5)-find(":",tipp!M5)))&gt;left(tipp!M5,find(":",tipp!M5)-1),2,"x"))=tipp!$I5,tipp!$J5*pontozas!$B$1)+if(left(tipp!M5,find(":",tipp!M5)-1)-right(tipp!M5,(len(tipp!M5)-find(":",tipp!M5)))=tipp!$G5-tipp!$H5,pontozas!$B$2,0)+if(tipp!M5=tipp!$F5,pontozas!$B$3),""),"")</f>
        <v>1.08</v>
      </c>
      <c r="E6">
        <f>if(E$1&lt;&gt;"",iferror(if(if(left(tipp!N5,find(":",tipp!N5)-1)&gt;right(tipp!N5,(len(tipp!N5)-find(":",tipp!N5))),1,if(right(tipp!N5,(len(tipp!N5)-find(":",tipp!N5)))&gt;left(tipp!N5,find(":",tipp!N5)-1),2,"x"))=tipp!$I5,tipp!$J5*pontozas!$B$1)+if(left(tipp!N5,find(":",tipp!N5)-1)-right(tipp!N5,(len(tipp!N5)-find(":",tipp!N5)))=tipp!$G5-tipp!$H5,pontozas!$B$2,0)+if(tipp!N5=tipp!$F5,pontozas!$B$3),""),"")</f>
        <v>1.08</v>
      </c>
      <c r="F6">
        <f>if(F$1&lt;&gt;"",iferror(if(if(left(tipp!O5,find(":",tipp!O5)-1)&gt;right(tipp!O5,(len(tipp!O5)-find(":",tipp!O5))),1,if(right(tipp!O5,(len(tipp!O5)-find(":",tipp!O5)))&gt;left(tipp!O5,find(":",tipp!O5)-1),2,"x"))=tipp!$I5,tipp!$J5*pontozas!$B$1)+if(left(tipp!O5,find(":",tipp!O5)-1)-right(tipp!O5,(len(tipp!O5)-find(":",tipp!O5)))=tipp!$G5-tipp!$H5,pontozas!$B$2,0)+if(tipp!O5=tipp!$F5,pontozas!$B$3),""),"")</f>
        <v>1.08</v>
      </c>
      <c r="G6" t="str">
        <f>if(G$1&lt;&gt;"",iferror(if(if(left(tipp!P5,find(":",tipp!P5)-1)&gt;right(tipp!P5,(len(tipp!P5)-find(":",tipp!P5))),1,if(right(tipp!P5,(len(tipp!P5)-find(":",tipp!P5)))&gt;left(tipp!P5,find(":",tipp!P5)-1),2,"x"))=tipp!$I5,tipp!$J5*pontozas!$B$1)+if(left(tipp!P5,find(":",tipp!P5)-1)-right(tipp!P5,(len(tipp!P5)-find(":",tipp!P5)))=tipp!$G5-tipp!$H5,pontozas!$B$2,0)+if(tipp!P5=tipp!$F5,pontozas!$B$3),""),"")</f>
        <v/>
      </c>
      <c r="H6">
        <f>if(H$1&lt;&gt;"",iferror(if(if(left(tipp!Q5,find(":",tipp!Q5)-1)&gt;right(tipp!Q5,(len(tipp!Q5)-find(":",tipp!Q5))),1,if(right(tipp!Q5,(len(tipp!Q5)-find(":",tipp!Q5)))&gt;left(tipp!Q5,find(":",tipp!Q5)-1),2,"x"))=tipp!$I5,tipp!$J5*pontozas!$B$1)+if(left(tipp!Q5,find(":",tipp!Q5)-1)-right(tipp!Q5,(len(tipp!Q5)-find(":",tipp!Q5)))=tipp!$G5-tipp!$H5,pontozas!$B$2,0)+if(tipp!Q5=tipp!$F5,pontozas!$B$3),""),"")</f>
        <v>1.08</v>
      </c>
      <c r="I6">
        <f>if(I$1&lt;&gt;"",iferror(if(if(left(tipp!R5,find(":",tipp!R5)-1)&gt;right(tipp!R5,(len(tipp!R5)-find(":",tipp!R5))),1,if(right(tipp!R5,(len(tipp!R5)-find(":",tipp!R5)))&gt;left(tipp!R5,find(":",tipp!R5)-1),2,"x"))=tipp!$I5,tipp!$J5*pontozas!$B$1)+if(left(tipp!R5,find(":",tipp!R5)-1)-right(tipp!R5,(len(tipp!R5)-find(":",tipp!R5)))=tipp!$G5-tipp!$H5,pontozas!$B$2,0)+if(tipp!R5=tipp!$F5,pontozas!$B$3),""),"")</f>
        <v>1.08</v>
      </c>
      <c r="J6" t="str">
        <f>if(J$1&lt;&gt;"",iferror(if(if(left(tipp!S5,find(":",tipp!S5)-1)&gt;right(tipp!S5,(len(tipp!S5)-find(":",tipp!S5))),1,if(right(tipp!S5,(len(tipp!S5)-find(":",tipp!S5)))&gt;left(tipp!S5,find(":",tipp!S5)-1),2,"x"))=tipp!$I5,tipp!$J5*pontozas!$B$1)+if(left(tipp!S5,find(":",tipp!S5)-1)-right(tipp!S5,(len(tipp!S5)-find(":",tipp!S5)))=tipp!$G5-tipp!$H5,pontozas!$B$2,0)+if(tipp!S5=tipp!$F5,pontozas!$B$3),""),"")</f>
        <v/>
      </c>
      <c r="K6" t="str">
        <f>if(K$1&lt;&gt;"",iferror(if(if(left(tipp!T5,find(":",tipp!T5)-1)&gt;right(tipp!T5,(len(tipp!T5)-find(":",tipp!T5))),1,if(right(tipp!T5,(len(tipp!T5)-find(":",tipp!T5)))&gt;left(tipp!T5,find(":",tipp!T5)-1),2,"x"))=tipp!$I5,tipp!$J5*pontozas!$B$1)+if(left(tipp!T5,find(":",tipp!T5)-1)-right(tipp!T5,(len(tipp!T5)-find(":",tipp!T5)))=tipp!$G5-tipp!$H5,pontozas!$B$2,0)+if(tipp!T5=tipp!$F5,pontozas!$B$3),""),"")</f>
        <v/>
      </c>
      <c r="L6" t="str">
        <f>if(L$1&lt;&gt;"",iferror(if(if(left(tipp!U5,find(":",tipp!U5)-1)&gt;right(tipp!U5,(len(tipp!U5)-find(":",tipp!U5))),1,if(right(tipp!U5,(len(tipp!U5)-find(":",tipp!U5)))&gt;left(tipp!U5,find(":",tipp!U5)-1),2,"x"))=tipp!$I5,tipp!$J5*pontozas!$B$1)+if(left(tipp!U5,find(":",tipp!U5)-1)-right(tipp!U5,(len(tipp!U5)-find(":",tipp!U5)))=tipp!$G5-tipp!$H5,pontozas!$B$2,0)+if(tipp!U5=tipp!$F5,pontozas!$B$3),""),"")</f>
        <v/>
      </c>
      <c r="M6" t="str">
        <f>if(M$1&lt;&gt;"",iferror(if(if(left(tipp!V5,find(":",tipp!V5)-1)&gt;right(tipp!V5,(len(tipp!V5)-find(":",tipp!V5))),1,if(right(tipp!V5,(len(tipp!V5)-find(":",tipp!V5)))&gt;left(tipp!V5,find(":",tipp!V5)-1),2,"x"))=tipp!$I5,tipp!$J5*pontozas!$B$1)+if(left(tipp!V5,find(":",tipp!V5)-1)-right(tipp!V5,(len(tipp!V5)-find(":",tipp!V5)))=tipp!$G5-tipp!$H5,pontozas!$B$2,0)+if(tipp!V5=tipp!$F5,pontozas!$B$3),""),"")</f>
        <v/>
      </c>
      <c r="N6" t="str">
        <f>if(N$1&lt;&gt;"",iferror(if(if(left(tipp!W5,find(":",tipp!W5)-1)&gt;right(tipp!W5,(len(tipp!W5)-find(":",tipp!W5))),1,if(right(tipp!W5,(len(tipp!W5)-find(":",tipp!W5)))&gt;left(tipp!W5,find(":",tipp!W5)-1),2,"x"))=tipp!$I5,tipp!$J5*pontozas!$B$1)+if(left(tipp!W5,find(":",tipp!W5)-1)-right(tipp!W5,(len(tipp!W5)-find(":",tipp!W5)))=tipp!$G5-tipp!$H5,pontozas!$B$2,0)+if(tipp!W5=tipp!$F5,pontozas!$B$3),""),"")</f>
        <v/>
      </c>
      <c r="O6" t="str">
        <f>if(O$1&lt;&gt;"",iferror(if(if(left(tipp!X5,find(":",tipp!X5)-1)&gt;right(tipp!X5,(len(tipp!X5)-find(":",tipp!X5))),1,if(right(tipp!X5,(len(tipp!X5)-find(":",tipp!X5)))&gt;left(tipp!X5,find(":",tipp!X5)-1),2,"x"))=tipp!$I5,tipp!$J5*pontozas!$B$1)+if(left(tipp!X5,find(":",tipp!X5)-1)-right(tipp!X5,(len(tipp!X5)-find(":",tipp!X5)))=tipp!$G5-tipp!$H5,pontozas!$B$2,0)+if(tipp!X5=tipp!$F5,pontozas!$B$3),""),"")</f>
        <v/>
      </c>
    </row>
    <row r="7">
      <c r="A7" t="str">
        <f>CONCATENATE(tipp!A6&amp;" : "&amp;tipp!B6)</f>
        <v>Sweden : Belarus</v>
      </c>
      <c r="B7">
        <f>if(B$1&lt;&gt;"",iferror(if(if(left(tipp!K6,find(":",tipp!K6)-1)&gt;right(tipp!K6,(len(tipp!K6)-find(":",tipp!K6))),1,if(right(tipp!K6,(len(tipp!K6)-find(":",tipp!K6)))&gt;left(tipp!K6,find(":",tipp!K6)-1),2,"x"))=tipp!$I6,tipp!$J6*pontozas!$B$1)+if(left(tipp!K6,find(":",tipp!K6)-1)-right(tipp!K6,(len(tipp!K6)-find(":",tipp!K6)))=tipp!$G6-tipp!$H6,pontozas!$B$2,0)+if(tipp!K6=tipp!$F6,pontozas!$B$3),""),"")</f>
        <v>1.17</v>
      </c>
      <c r="C7">
        <f>if(C$1&lt;&gt;"",iferror(if(if(left(tipp!L6,find(":",tipp!L6)-1)&gt;right(tipp!L6,(len(tipp!L6)-find(":",tipp!L6))),1,if(right(tipp!L6,(len(tipp!L6)-find(":",tipp!L6)))&gt;left(tipp!L6,find(":",tipp!L6)-1),2,"x"))=tipp!$I6,tipp!$J6*pontozas!$B$1)+if(left(tipp!L6,find(":",tipp!L6)-1)-right(tipp!L6,(len(tipp!L6)-find(":",tipp!L6)))=tipp!$G6-tipp!$H6,pontozas!$B$2,0)+if(tipp!L6=tipp!$F6,pontozas!$B$3),""),"")</f>
        <v>1.17</v>
      </c>
      <c r="D7">
        <f>if(D$1&lt;&gt;"",iferror(if(if(left(tipp!M6,find(":",tipp!M6)-1)&gt;right(tipp!M6,(len(tipp!M6)-find(":",tipp!M6))),1,if(right(tipp!M6,(len(tipp!M6)-find(":",tipp!M6)))&gt;left(tipp!M6,find(":",tipp!M6)-1),2,"x"))=tipp!$I6,tipp!$J6*pontozas!$B$1)+if(left(tipp!M6,find(":",tipp!M6)-1)-right(tipp!M6,(len(tipp!M6)-find(":",tipp!M6)))=tipp!$G6-tipp!$H6,pontozas!$B$2,0)+if(tipp!M6=tipp!$F6,pontozas!$B$3),""),"")</f>
        <v>1.17</v>
      </c>
      <c r="E7">
        <f>if(E$1&lt;&gt;"",iferror(if(if(left(tipp!N6,find(":",tipp!N6)-1)&gt;right(tipp!N6,(len(tipp!N6)-find(":",tipp!N6))),1,if(right(tipp!N6,(len(tipp!N6)-find(":",tipp!N6)))&gt;left(tipp!N6,find(":",tipp!N6)-1),2,"x"))=tipp!$I6,tipp!$J6*pontozas!$B$1)+if(left(tipp!N6,find(":",tipp!N6)-1)-right(tipp!N6,(len(tipp!N6)-find(":",tipp!N6)))=tipp!$G6-tipp!$H6,pontozas!$B$2,0)+if(tipp!N6=tipp!$F6,pontozas!$B$3),""),"")</f>
        <v>1.17</v>
      </c>
      <c r="F7">
        <f>if(F$1&lt;&gt;"",iferror(if(if(left(tipp!O6,find(":",tipp!O6)-1)&gt;right(tipp!O6,(len(tipp!O6)-find(":",tipp!O6))),1,if(right(tipp!O6,(len(tipp!O6)-find(":",tipp!O6)))&gt;left(tipp!O6,find(":",tipp!O6)-1),2,"x"))=tipp!$I6,tipp!$J6*pontozas!$B$1)+if(left(tipp!O6,find(":",tipp!O6)-1)-right(tipp!O6,(len(tipp!O6)-find(":",tipp!O6)))=tipp!$G6-tipp!$H6,pontozas!$B$2,0)+if(tipp!O6=tipp!$F6,pontozas!$B$3),""),"")</f>
        <v>3.17</v>
      </c>
      <c r="G7" t="str">
        <f>if(G$1&lt;&gt;"",iferror(if(if(left(tipp!P6,find(":",tipp!P6)-1)&gt;right(tipp!P6,(len(tipp!P6)-find(":",tipp!P6))),1,if(right(tipp!P6,(len(tipp!P6)-find(":",tipp!P6)))&gt;left(tipp!P6,find(":",tipp!P6)-1),2,"x"))=tipp!$I6,tipp!$J6*pontozas!$B$1)+if(left(tipp!P6,find(":",tipp!P6)-1)-right(tipp!P6,(len(tipp!P6)-find(":",tipp!P6)))=tipp!$G6-tipp!$H6,pontozas!$B$2,0)+if(tipp!P6=tipp!$F6,pontozas!$B$3),""),"")</f>
        <v/>
      </c>
      <c r="H7">
        <f>if(H$1&lt;&gt;"",iferror(if(if(left(tipp!Q6,find(":",tipp!Q6)-1)&gt;right(tipp!Q6,(len(tipp!Q6)-find(":",tipp!Q6))),1,if(right(tipp!Q6,(len(tipp!Q6)-find(":",tipp!Q6)))&gt;left(tipp!Q6,find(":",tipp!Q6)-1),2,"x"))=tipp!$I6,tipp!$J6*pontozas!$B$1)+if(left(tipp!Q6,find(":",tipp!Q6)-1)-right(tipp!Q6,(len(tipp!Q6)-find(":",tipp!Q6)))=tipp!$G6-tipp!$H6,pontozas!$B$2,0)+if(tipp!Q6=tipp!$F6,pontozas!$B$3),""),"")</f>
        <v>0</v>
      </c>
      <c r="I7">
        <f>if(I$1&lt;&gt;"",iferror(if(if(left(tipp!R6,find(":",tipp!R6)-1)&gt;right(tipp!R6,(len(tipp!R6)-find(":",tipp!R6))),1,if(right(tipp!R6,(len(tipp!R6)-find(":",tipp!R6)))&gt;left(tipp!R6,find(":",tipp!R6)-1),2,"x"))=tipp!$I6,tipp!$J6*pontozas!$B$1)+if(left(tipp!R6,find(":",tipp!R6)-1)-right(tipp!R6,(len(tipp!R6)-find(":",tipp!R6)))=tipp!$G6-tipp!$H6,pontozas!$B$2,0)+if(tipp!R6=tipp!$F6,pontozas!$B$3),""),"")</f>
        <v>1.17</v>
      </c>
      <c r="J7" t="str">
        <f>if(J$1&lt;&gt;"",iferror(if(if(left(tipp!S6,find(":",tipp!S6)-1)&gt;right(tipp!S6,(len(tipp!S6)-find(":",tipp!S6))),1,if(right(tipp!S6,(len(tipp!S6)-find(":",tipp!S6)))&gt;left(tipp!S6,find(":",tipp!S6)-1),2,"x"))=tipp!$I6,tipp!$J6*pontozas!$B$1)+if(left(tipp!S6,find(":",tipp!S6)-1)-right(tipp!S6,(len(tipp!S6)-find(":",tipp!S6)))=tipp!$G6-tipp!$H6,pontozas!$B$2,0)+if(tipp!S6=tipp!$F6,pontozas!$B$3),""),"")</f>
        <v/>
      </c>
      <c r="K7" t="str">
        <f>if(K$1&lt;&gt;"",iferror(if(if(left(tipp!T6,find(":",tipp!T6)-1)&gt;right(tipp!T6,(len(tipp!T6)-find(":",tipp!T6))),1,if(right(tipp!T6,(len(tipp!T6)-find(":",tipp!T6)))&gt;left(tipp!T6,find(":",tipp!T6)-1),2,"x"))=tipp!$I6,tipp!$J6*pontozas!$B$1)+if(left(tipp!T6,find(":",tipp!T6)-1)-right(tipp!T6,(len(tipp!T6)-find(":",tipp!T6)))=tipp!$G6-tipp!$H6,pontozas!$B$2,0)+if(tipp!T6=tipp!$F6,pontozas!$B$3),""),"")</f>
        <v/>
      </c>
      <c r="L7" t="str">
        <f>if(L$1&lt;&gt;"",iferror(if(if(left(tipp!U6,find(":",tipp!U6)-1)&gt;right(tipp!U6,(len(tipp!U6)-find(":",tipp!U6))),1,if(right(tipp!U6,(len(tipp!U6)-find(":",tipp!U6)))&gt;left(tipp!U6,find(":",tipp!U6)-1),2,"x"))=tipp!$I6,tipp!$J6*pontozas!$B$1)+if(left(tipp!U6,find(":",tipp!U6)-1)-right(tipp!U6,(len(tipp!U6)-find(":",tipp!U6)))=tipp!$G6-tipp!$H6,pontozas!$B$2,0)+if(tipp!U6=tipp!$F6,pontozas!$B$3),""),"")</f>
        <v/>
      </c>
      <c r="M7" t="str">
        <f>if(M$1&lt;&gt;"",iferror(if(if(left(tipp!V6,find(":",tipp!V6)-1)&gt;right(tipp!V6,(len(tipp!V6)-find(":",tipp!V6))),1,if(right(tipp!V6,(len(tipp!V6)-find(":",tipp!V6)))&gt;left(tipp!V6,find(":",tipp!V6)-1),2,"x"))=tipp!$I6,tipp!$J6*pontozas!$B$1)+if(left(tipp!V6,find(":",tipp!V6)-1)-right(tipp!V6,(len(tipp!V6)-find(":",tipp!V6)))=tipp!$G6-tipp!$H6,pontozas!$B$2,0)+if(tipp!V6=tipp!$F6,pontozas!$B$3),""),"")</f>
        <v/>
      </c>
      <c r="N7" t="str">
        <f>if(N$1&lt;&gt;"",iferror(if(if(left(tipp!W6,find(":",tipp!W6)-1)&gt;right(tipp!W6,(len(tipp!W6)-find(":",tipp!W6))),1,if(right(tipp!W6,(len(tipp!W6)-find(":",tipp!W6)))&gt;left(tipp!W6,find(":",tipp!W6)-1),2,"x"))=tipp!$I6,tipp!$J6*pontozas!$B$1)+if(left(tipp!W6,find(":",tipp!W6)-1)-right(tipp!W6,(len(tipp!W6)-find(":",tipp!W6)))=tipp!$G6-tipp!$H6,pontozas!$B$2,0)+if(tipp!W6=tipp!$F6,pontozas!$B$3),""),"")</f>
        <v/>
      </c>
      <c r="O7" t="str">
        <f>if(O$1&lt;&gt;"",iferror(if(if(left(tipp!X6,find(":",tipp!X6)-1)&gt;right(tipp!X6,(len(tipp!X6)-find(":",tipp!X6))),1,if(right(tipp!X6,(len(tipp!X6)-find(":",tipp!X6)))&gt;left(tipp!X6,find(":",tipp!X6)-1),2,"x"))=tipp!$I6,tipp!$J6*pontozas!$B$1)+if(left(tipp!X6,find(":",tipp!X6)-1)-right(tipp!X6,(len(tipp!X6)-find(":",tipp!X6)))=tipp!$G6-tipp!$H6,pontozas!$B$2,0)+if(tipp!X6=tipp!$F6,pontozas!$B$3),""),"")</f>
        <v/>
      </c>
    </row>
    <row r="8">
      <c r="A8" t="str">
        <f>CONCATENATE(tipp!A7&amp;" : "&amp;tipp!B7)</f>
        <v>United States : Canada</v>
      </c>
      <c r="B8">
        <f>if(B$1&lt;&gt;"",iferror(if(if(left(tipp!K7,find(":",tipp!K7)-1)&gt;right(tipp!K7,(len(tipp!K7)-find(":",tipp!K7))),1,if(right(tipp!K7,(len(tipp!K7)-find(":",tipp!K7)))&gt;left(tipp!K7,find(":",tipp!K7)-1),2,"x"))=tipp!$I7,tipp!$J7*pontozas!$B$1)+if(left(tipp!K7,find(":",tipp!K7)-1)-right(tipp!K7,(len(tipp!K7)-find(":",tipp!K7)))=tipp!$G7-tipp!$H7,pontozas!$B$2,0)+if(tipp!K7=tipp!$F7,pontozas!$B$3),""),"")</f>
        <v>0</v>
      </c>
      <c r="C8">
        <f>if(C$1&lt;&gt;"",iferror(if(if(left(tipp!L7,find(":",tipp!L7)-1)&gt;right(tipp!L7,(len(tipp!L7)-find(":",tipp!L7))),1,if(right(tipp!L7,(len(tipp!L7)-find(":",tipp!L7)))&gt;left(tipp!L7,find(":",tipp!L7)-1),2,"x"))=tipp!$I7,tipp!$J7*pontozas!$B$1)+if(left(tipp!L7,find(":",tipp!L7)-1)-right(tipp!L7,(len(tipp!L7)-find(":",tipp!L7)))=tipp!$G7-tipp!$H7,pontozas!$B$2,0)+if(tipp!L7=tipp!$F7,pontozas!$B$3),""),"")</f>
        <v>0</v>
      </c>
      <c r="D8">
        <f>if(D$1&lt;&gt;"",iferror(if(if(left(tipp!M7,find(":",tipp!M7)-1)&gt;right(tipp!M7,(len(tipp!M7)-find(":",tipp!M7))),1,if(right(tipp!M7,(len(tipp!M7)-find(":",tipp!M7)))&gt;left(tipp!M7,find(":",tipp!M7)-1),2,"x"))=tipp!$I7,tipp!$J7*pontozas!$B$1)+if(left(tipp!M7,find(":",tipp!M7)-1)-right(tipp!M7,(len(tipp!M7)-find(":",tipp!M7)))=tipp!$G7-tipp!$H7,pontozas!$B$2,0)+if(tipp!M7=tipp!$F7,pontozas!$B$3),""),"")</f>
        <v>0</v>
      </c>
      <c r="E8">
        <f>if(E$1&lt;&gt;"",iferror(if(if(left(tipp!N7,find(":",tipp!N7)-1)&gt;right(tipp!N7,(len(tipp!N7)-find(":",tipp!N7))),1,if(right(tipp!N7,(len(tipp!N7)-find(":",tipp!N7)))&gt;left(tipp!N7,find(":",tipp!N7)-1),2,"x"))=tipp!$I7,tipp!$J7*pontozas!$B$1)+if(left(tipp!N7,find(":",tipp!N7)-1)-right(tipp!N7,(len(tipp!N7)-find(":",tipp!N7)))=tipp!$G7-tipp!$H7,pontozas!$B$2,0)+if(tipp!N7=tipp!$F7,pontozas!$B$3),""),"")</f>
        <v>0</v>
      </c>
      <c r="F8">
        <f>if(F$1&lt;&gt;"",iferror(if(if(left(tipp!O7,find(":",tipp!O7)-1)&gt;right(tipp!O7,(len(tipp!O7)-find(":",tipp!O7))),1,if(right(tipp!O7,(len(tipp!O7)-find(":",tipp!O7)))&gt;left(tipp!O7,find(":",tipp!O7)-1),2,"x"))=tipp!$I7,tipp!$J7*pontozas!$B$1)+if(left(tipp!O7,find(":",tipp!O7)-1)-right(tipp!O7,(len(tipp!O7)-find(":",tipp!O7)))=tipp!$G7-tipp!$H7,pontozas!$B$2,0)+if(tipp!O7=tipp!$F7,pontozas!$B$3),""),"")</f>
        <v>6</v>
      </c>
      <c r="G8" t="str">
        <f>if(G$1&lt;&gt;"",iferror(if(if(left(tipp!P7,find(":",tipp!P7)-1)&gt;right(tipp!P7,(len(tipp!P7)-find(":",tipp!P7))),1,if(right(tipp!P7,(len(tipp!P7)-find(":",tipp!P7)))&gt;left(tipp!P7,find(":",tipp!P7)-1),2,"x"))=tipp!$I7,tipp!$J7*pontozas!$B$1)+if(left(tipp!P7,find(":",tipp!P7)-1)-right(tipp!P7,(len(tipp!P7)-find(":",tipp!P7)))=tipp!$G7-tipp!$H7,pontozas!$B$2,0)+if(tipp!P7=tipp!$F7,pontozas!$B$3),""),"")</f>
        <v/>
      </c>
      <c r="H8">
        <f>if(H$1&lt;&gt;"",iferror(if(if(left(tipp!Q7,find(":",tipp!Q7)-1)&gt;right(tipp!Q7,(len(tipp!Q7)-find(":",tipp!Q7))),1,if(right(tipp!Q7,(len(tipp!Q7)-find(":",tipp!Q7)))&gt;left(tipp!Q7,find(":",tipp!Q7)-1),2,"x"))=tipp!$I7,tipp!$J7*pontozas!$B$1)+if(left(tipp!Q7,find(":",tipp!Q7)-1)-right(tipp!Q7,(len(tipp!Q7)-find(":",tipp!Q7)))=tipp!$G7-tipp!$H7,pontozas!$B$2,0)+if(tipp!Q7=tipp!$F7,pontozas!$B$3),""),"")</f>
        <v>6</v>
      </c>
      <c r="I8">
        <f>if(I$1&lt;&gt;"",iferror(if(if(left(tipp!R7,find(":",tipp!R7)-1)&gt;right(tipp!R7,(len(tipp!R7)-find(":",tipp!R7))),1,if(right(tipp!R7,(len(tipp!R7)-find(":",tipp!R7)))&gt;left(tipp!R7,find(":",tipp!R7)-1),2,"x"))=tipp!$I7,tipp!$J7*pontozas!$B$1)+if(left(tipp!R7,find(":",tipp!R7)-1)-right(tipp!R7,(len(tipp!R7)-find(":",tipp!R7)))=tipp!$G7-tipp!$H7,pontozas!$B$2,0)+if(tipp!R7=tipp!$F7,pontozas!$B$3),""),"")</f>
        <v>0</v>
      </c>
      <c r="J8" t="str">
        <f>if(J$1&lt;&gt;"",iferror(if(if(left(tipp!S7,find(":",tipp!S7)-1)&gt;right(tipp!S7,(len(tipp!S7)-find(":",tipp!S7))),1,if(right(tipp!S7,(len(tipp!S7)-find(":",tipp!S7)))&gt;left(tipp!S7,find(":",tipp!S7)-1),2,"x"))=tipp!$I7,tipp!$J7*pontozas!$B$1)+if(left(tipp!S7,find(":",tipp!S7)-1)-right(tipp!S7,(len(tipp!S7)-find(":",tipp!S7)))=tipp!$G7-tipp!$H7,pontozas!$B$2,0)+if(tipp!S7=tipp!$F7,pontozas!$B$3),""),"")</f>
        <v/>
      </c>
      <c r="K8" t="str">
        <f>if(K$1&lt;&gt;"",iferror(if(if(left(tipp!T7,find(":",tipp!T7)-1)&gt;right(tipp!T7,(len(tipp!T7)-find(":",tipp!T7))),1,if(right(tipp!T7,(len(tipp!T7)-find(":",tipp!T7)))&gt;left(tipp!T7,find(":",tipp!T7)-1),2,"x"))=tipp!$I7,tipp!$J7*pontozas!$B$1)+if(left(tipp!T7,find(":",tipp!T7)-1)-right(tipp!T7,(len(tipp!T7)-find(":",tipp!T7)))=tipp!$G7-tipp!$H7,pontozas!$B$2,0)+if(tipp!T7=tipp!$F7,pontozas!$B$3),""),"")</f>
        <v/>
      </c>
      <c r="L8" t="str">
        <f>if(L$1&lt;&gt;"",iferror(if(if(left(tipp!U7,find(":",tipp!U7)-1)&gt;right(tipp!U7,(len(tipp!U7)-find(":",tipp!U7))),1,if(right(tipp!U7,(len(tipp!U7)-find(":",tipp!U7)))&gt;left(tipp!U7,find(":",tipp!U7)-1),2,"x"))=tipp!$I7,tipp!$J7*pontozas!$B$1)+if(left(tipp!U7,find(":",tipp!U7)-1)-right(tipp!U7,(len(tipp!U7)-find(":",tipp!U7)))=tipp!$G7-tipp!$H7,pontozas!$B$2,0)+if(tipp!U7=tipp!$F7,pontozas!$B$3),""),"")</f>
        <v/>
      </c>
      <c r="M8" t="str">
        <f>if(M$1&lt;&gt;"",iferror(if(if(left(tipp!V7,find(":",tipp!V7)-1)&gt;right(tipp!V7,(len(tipp!V7)-find(":",tipp!V7))),1,if(right(tipp!V7,(len(tipp!V7)-find(":",tipp!V7)))&gt;left(tipp!V7,find(":",tipp!V7)-1),2,"x"))=tipp!$I7,tipp!$J7*pontozas!$B$1)+if(left(tipp!V7,find(":",tipp!V7)-1)-right(tipp!V7,(len(tipp!V7)-find(":",tipp!V7)))=tipp!$G7-tipp!$H7,pontozas!$B$2,0)+if(tipp!V7=tipp!$F7,pontozas!$B$3),""),"")</f>
        <v/>
      </c>
      <c r="N8" t="str">
        <f>if(N$1&lt;&gt;"",iferror(if(if(left(tipp!W7,find(":",tipp!W7)-1)&gt;right(tipp!W7,(len(tipp!W7)-find(":",tipp!W7))),1,if(right(tipp!W7,(len(tipp!W7)-find(":",tipp!W7)))&gt;left(tipp!W7,find(":",tipp!W7)-1),2,"x"))=tipp!$I7,tipp!$J7*pontozas!$B$1)+if(left(tipp!W7,find(":",tipp!W7)-1)-right(tipp!W7,(len(tipp!W7)-find(":",tipp!W7)))=tipp!$G7-tipp!$H7,pontozas!$B$2,0)+if(tipp!W7=tipp!$F7,pontozas!$B$3),""),"")</f>
        <v/>
      </c>
      <c r="O8" t="str">
        <f>if(O$1&lt;&gt;"",iferror(if(if(left(tipp!X7,find(":",tipp!X7)-1)&gt;right(tipp!X7,(len(tipp!X7)-find(":",tipp!X7))),1,if(right(tipp!X7,(len(tipp!X7)-find(":",tipp!X7)))&gt;left(tipp!X7,find(":",tipp!X7)-1),2,"x"))=tipp!$I7,tipp!$J7*pontozas!$B$1)+if(left(tipp!X7,find(":",tipp!X7)-1)-right(tipp!X7,(len(tipp!X7)-find(":",tipp!X7)))=tipp!$G7-tipp!$H7,pontozas!$B$2,0)+if(tipp!X7=tipp!$F7,pontozas!$B$3),""),"")</f>
        <v/>
      </c>
    </row>
    <row r="9">
      <c r="A9" t="str">
        <f>CONCATENATE(tipp!A8&amp;" : "&amp;tipp!B8)</f>
        <v>Germany : Denmark</v>
      </c>
      <c r="B9">
        <f>if(B$1&lt;&gt;"",iferror(if(if(left(tipp!K8,find(":",tipp!K8)-1)&gt;right(tipp!K8,(len(tipp!K8)-find(":",tipp!K8))),1,if(right(tipp!K8,(len(tipp!K8)-find(":",tipp!K8)))&gt;left(tipp!K8,find(":",tipp!K8)-1),2,"x"))=tipp!$I8,tipp!$J8*pontozas!$B$1)+if(left(tipp!K8,find(":",tipp!K8)-1)-right(tipp!K8,(len(tipp!K8)-find(":",tipp!K8)))=tipp!$G8-tipp!$H8,pontozas!$B$2,0)+if(tipp!K8=tipp!$F8,pontozas!$B$3),""),"")</f>
        <v>0</v>
      </c>
      <c r="C9">
        <f>if(C$1&lt;&gt;"",iferror(if(if(left(tipp!L8,find(":",tipp!L8)-1)&gt;right(tipp!L8,(len(tipp!L8)-find(":",tipp!L8))),1,if(right(tipp!L8,(len(tipp!L8)-find(":",tipp!L8)))&gt;left(tipp!L8,find(":",tipp!L8)-1),2,"x"))=tipp!$I8,tipp!$J8*pontozas!$B$1)+if(left(tipp!L8,find(":",tipp!L8)-1)-right(tipp!L8,(len(tipp!L8)-find(":",tipp!L8)))=tipp!$G8-tipp!$H8,pontozas!$B$2,0)+if(tipp!L8=tipp!$F8,pontozas!$B$3),""),"")</f>
        <v>0</v>
      </c>
      <c r="D9">
        <f>if(D$1&lt;&gt;"",iferror(if(if(left(tipp!M8,find(":",tipp!M8)-1)&gt;right(tipp!M8,(len(tipp!M8)-find(":",tipp!M8))),1,if(right(tipp!M8,(len(tipp!M8)-find(":",tipp!M8)))&gt;left(tipp!M8,find(":",tipp!M8)-1),2,"x"))=tipp!$I8,tipp!$J8*pontozas!$B$1)+if(left(tipp!M8,find(":",tipp!M8)-1)-right(tipp!M8,(len(tipp!M8)-find(":",tipp!M8)))=tipp!$G8-tipp!$H8,pontozas!$B$2,0)+if(tipp!M8=tipp!$F8,pontozas!$B$3),""),"")</f>
        <v>0</v>
      </c>
      <c r="E9">
        <f>if(E$1&lt;&gt;"",iferror(if(if(left(tipp!N8,find(":",tipp!N8)-1)&gt;right(tipp!N8,(len(tipp!N8)-find(":",tipp!N8))),1,if(right(tipp!N8,(len(tipp!N8)-find(":",tipp!N8)))&gt;left(tipp!N8,find(":",tipp!N8)-1),2,"x"))=tipp!$I8,tipp!$J8*pontozas!$B$1)+if(left(tipp!N8,find(":",tipp!N8)-1)-right(tipp!N8,(len(tipp!N8)-find(":",tipp!N8)))=tipp!$G8-tipp!$H8,pontozas!$B$2,0)+if(tipp!N8=tipp!$F8,pontozas!$B$3),""),"")</f>
        <v>6</v>
      </c>
      <c r="F9">
        <f>if(F$1&lt;&gt;"",iferror(if(if(left(tipp!O8,find(":",tipp!O8)-1)&gt;right(tipp!O8,(len(tipp!O8)-find(":",tipp!O8))),1,if(right(tipp!O8,(len(tipp!O8)-find(":",tipp!O8)))&gt;left(tipp!O8,find(":",tipp!O8)-1),2,"x"))=tipp!$I8,tipp!$J8*pontozas!$B$1)+if(left(tipp!O8,find(":",tipp!O8)-1)-right(tipp!O8,(len(tipp!O8)-find(":",tipp!O8)))=tipp!$G8-tipp!$H8,pontozas!$B$2,0)+if(tipp!O8=tipp!$F8,pontozas!$B$3),""),"")</f>
        <v>0</v>
      </c>
      <c r="G9" t="str">
        <f>if(G$1&lt;&gt;"",iferror(if(if(left(tipp!P7,find(":",tipp!P7)-1)&gt;right(tipp!P7,(len(tipp!P7)-find(":",tipp!P7))),1,if(right(tipp!P7,(len(tipp!P7)-find(":",tipp!P7)))&gt;left(tipp!P7,find(":",tipp!P7)-1),2,"x"))=tipp!$I8,tipp!$J8*pontozas!$B$1)+if(left(tipp!P7,find(":",tipp!P7)-1)-right(tipp!P7,(len(tipp!P7)-find(":",tipp!P7)))=tipp!$G8-tipp!$H8,pontozas!$B$2,0)+if(tipp!P7=tipp!$F8,pontozas!$B$3),""),"")</f>
        <v/>
      </c>
      <c r="H9">
        <f>if(H$1&lt;&gt;"",iferror(if(if(left(tipp!Q8,find(":",tipp!Q8)-1)&gt;right(tipp!Q8,(len(tipp!Q8)-find(":",tipp!Q8))),1,if(right(tipp!Q8,(len(tipp!Q8)-find(":",tipp!Q8)))&gt;left(tipp!Q8,find(":",tipp!Q8)-1),2,"x"))=tipp!$I8,tipp!$J8*pontozas!$B$1)+if(left(tipp!Q8,find(":",tipp!Q8)-1)-right(tipp!Q8,(len(tipp!Q8)-find(":",tipp!Q8)))=tipp!$G8-tipp!$H8,pontozas!$B$2,0)+if(tipp!Q8=tipp!$F8,pontozas!$B$3),""),"")</f>
        <v>0</v>
      </c>
      <c r="I9">
        <f>if(I$1&lt;&gt;"",iferror(if(if(left(tipp!R8,find(":",tipp!R8)-1)&gt;right(tipp!R8,(len(tipp!R8)-find(":",tipp!R8))),1,if(right(tipp!R8,(len(tipp!R8)-find(":",tipp!R8)))&gt;left(tipp!R8,find(":",tipp!R8)-1),2,"x"))=tipp!$I8,tipp!$J8*pontozas!$B$1)+if(left(tipp!R8,find(":",tipp!R8)-1)-right(tipp!R8,(len(tipp!R8)-find(":",tipp!R8)))=tipp!$G8-tipp!$H8,pontozas!$B$2,0)+if(tipp!R8=tipp!$F8,pontozas!$B$3),""),"")</f>
        <v>0</v>
      </c>
      <c r="J9" t="str">
        <f>if(J$1&lt;&gt;"",iferror(if(if(left(tipp!S8,find(":",tipp!S8)-1)&gt;right(tipp!S8,(len(tipp!S8)-find(":",tipp!S8))),1,if(right(tipp!S8,(len(tipp!S8)-find(":",tipp!S8)))&gt;left(tipp!S8,find(":",tipp!S8)-1),2,"x"))=tipp!$I8,tipp!$J8*pontozas!$B$1)+if(left(tipp!S8,find(":",tipp!S8)-1)-right(tipp!S8,(len(tipp!S8)-find(":",tipp!S8)))=tipp!$G8-tipp!$H8,pontozas!$B$2,0)+if(tipp!S8=tipp!$F8,pontozas!$B$3),""),"")</f>
        <v/>
      </c>
      <c r="K9" t="str">
        <f>if(K$1&lt;&gt;"",iferror(if(if(left(tipp!T8,find(":",tipp!T8)-1)&gt;right(tipp!T8,(len(tipp!T8)-find(":",tipp!T8))),1,if(right(tipp!T8,(len(tipp!T8)-find(":",tipp!T8)))&gt;left(tipp!T8,find(":",tipp!T8)-1),2,"x"))=tipp!$I8,tipp!$J8*pontozas!$B$1)+if(left(tipp!T8,find(":",tipp!T8)-1)-right(tipp!T8,(len(tipp!T8)-find(":",tipp!T8)))=tipp!$G8-tipp!$H8,pontozas!$B$2,0)+if(tipp!T8=tipp!$F8,pontozas!$B$3),""),"")</f>
        <v/>
      </c>
      <c r="L9" t="str">
        <f>if(L$1&lt;&gt;"",iferror(if(if(left(tipp!U8,find(":",tipp!U8)-1)&gt;right(tipp!U8,(len(tipp!U8)-find(":",tipp!U8))),1,if(right(tipp!U8,(len(tipp!U8)-find(":",tipp!U8)))&gt;left(tipp!U8,find(":",tipp!U8)-1),2,"x"))=tipp!$I8,tipp!$J8*pontozas!$B$1)+if(left(tipp!U8,find(":",tipp!U8)-1)-right(tipp!U8,(len(tipp!U8)-find(":",tipp!U8)))=tipp!$G8-tipp!$H8,pontozas!$B$2,0)+if(tipp!U8=tipp!$F8,pontozas!$B$3),""),"")</f>
        <v/>
      </c>
      <c r="M9" t="str">
        <f>if(M$1&lt;&gt;"",iferror(if(if(left(tipp!V8,find(":",tipp!V8)-1)&gt;right(tipp!V8,(len(tipp!V8)-find(":",tipp!V8))),1,if(right(tipp!V8,(len(tipp!V8)-find(":",tipp!V8)))&gt;left(tipp!V8,find(":",tipp!V8)-1),2,"x"))=tipp!$I8,tipp!$J8*pontozas!$B$1)+if(left(tipp!V8,find(":",tipp!V8)-1)-right(tipp!V8,(len(tipp!V8)-find(":",tipp!V8)))=tipp!$G8-tipp!$H8,pontozas!$B$2,0)+if(tipp!V8=tipp!$F8,pontozas!$B$3),""),"")</f>
        <v/>
      </c>
      <c r="N9" t="str">
        <f>if(N$1&lt;&gt;"",iferror(if(if(left(tipp!W8,find(":",tipp!W8)-1)&gt;right(tipp!W8,(len(tipp!W8)-find(":",tipp!W8))),1,if(right(tipp!W8,(len(tipp!W8)-find(":",tipp!W8)))&gt;left(tipp!W8,find(":",tipp!W8)-1),2,"x"))=tipp!$I8,tipp!$J8*pontozas!$B$1)+if(left(tipp!W8,find(":",tipp!W8)-1)-right(tipp!W8,(len(tipp!W8)-find(":",tipp!W8)))=tipp!$G8-tipp!$H8,pontozas!$B$2,0)+if(tipp!W8=tipp!$F8,pontozas!$B$3),""),"")</f>
        <v/>
      </c>
      <c r="O9" t="str">
        <f>if(O$1&lt;&gt;"",iferror(if(if(left(tipp!X8,find(":",tipp!X8)-1)&gt;right(tipp!X8,(len(tipp!X8)-find(":",tipp!X8))),1,if(right(tipp!X8,(len(tipp!X8)-find(":",tipp!X8)))&gt;left(tipp!X8,find(":",tipp!X8)-1),2,"x"))=tipp!$I8,tipp!$J8*pontozas!$B$1)+if(left(tipp!X8,find(":",tipp!X8)-1)-right(tipp!X8,(len(tipp!X8)-find(":",tipp!X8)))=tipp!$G8-tipp!$H8,pontozas!$B$2,0)+if(tipp!X8=tipp!$F8,pontozas!$B$3),""),"")</f>
        <v/>
      </c>
    </row>
    <row r="10">
      <c r="A10" t="str">
        <f>CONCATENATE(tipp!A9&amp;" : "&amp;tipp!B9)</f>
        <v>Switzerland : Austria</v>
      </c>
      <c r="B10">
        <f>if(B$1&lt;&gt;"",iferror(if(if(left(tipp!K9,find(":",tipp!K9)-1)&gt;right(tipp!K9,(len(tipp!K9)-find(":",tipp!K9))),1,if(right(tipp!K9,(len(tipp!K9)-find(":",tipp!K9)))&gt;left(tipp!K9,find(":",tipp!K9)-1),2,"x"))=tipp!$I9,tipp!$J9*pontozas!$B$1)+if(left(tipp!K9,find(":",tipp!K9)-1)-right(tipp!K9,(len(tipp!K9)-find(":",tipp!K9)))=tipp!$G9-tipp!$H9,pontozas!$B$2,0)+if(tipp!K9=tipp!$F9,pontozas!$B$3),""),"")</f>
        <v>0</v>
      </c>
      <c r="C10">
        <f>if(C$1&lt;&gt;"",iferror(if(if(left(tipp!L9,find(":",tipp!L9)-1)&gt;right(tipp!L9,(len(tipp!L9)-find(":",tipp!L9))),1,if(right(tipp!L9,(len(tipp!L9)-find(":",tipp!L9)))&gt;left(tipp!L9,find(":",tipp!L9)-1),2,"x"))=tipp!$I9,tipp!$J9*pontozas!$B$1)+if(left(tipp!L9,find(":",tipp!L9)-1)-right(tipp!L9,(len(tipp!L9)-find(":",tipp!L9)))=tipp!$G9-tipp!$H9,pontozas!$B$2,0)+if(tipp!L9=tipp!$F9,pontozas!$B$3),""),"")</f>
        <v>0</v>
      </c>
      <c r="D10">
        <f>if(D$1&lt;&gt;"",iferror(if(if(left(tipp!M9,find(":",tipp!M9)-1)&gt;right(tipp!M9,(len(tipp!M9)-find(":",tipp!M9))),1,if(right(tipp!M9,(len(tipp!M9)-find(":",tipp!M9)))&gt;left(tipp!M9,find(":",tipp!M9)-1),2,"x"))=tipp!$I9,tipp!$J9*pontozas!$B$1)+if(left(tipp!M9,find(":",tipp!M9)-1)-right(tipp!M9,(len(tipp!M9)-find(":",tipp!M9)))=tipp!$G9-tipp!$H9,pontozas!$B$2,0)+if(tipp!M9=tipp!$F9,pontozas!$B$3),""),"")</f>
        <v>8</v>
      </c>
      <c r="E10">
        <f>if(E$1&lt;&gt;"",iferror(if(if(left(tipp!N9,find(":",tipp!N9)-1)&gt;right(tipp!N9,(len(tipp!N9)-find(":",tipp!N9))),1,if(right(tipp!N9,(len(tipp!N9)-find(":",tipp!N9)))&gt;left(tipp!N9,find(":",tipp!N9)-1),2,"x"))=tipp!$I9,tipp!$J9*pontozas!$B$1)+if(left(tipp!N9,find(":",tipp!N9)-1)-right(tipp!N9,(len(tipp!N9)-find(":",tipp!N9)))=tipp!$G9-tipp!$H9,pontozas!$B$2,0)+if(tipp!N9=tipp!$F9,pontozas!$B$3),""),"")</f>
        <v>0</v>
      </c>
      <c r="F10">
        <f>if(F$1&lt;&gt;"",iferror(if(if(left(tipp!O9,find(":",tipp!O9)-1)&gt;right(tipp!O9,(len(tipp!O9)-find(":",tipp!O9))),1,if(right(tipp!O9,(len(tipp!O9)-find(":",tipp!O9)))&gt;left(tipp!O9,find(":",tipp!O9)-1),2,"x"))=tipp!$I9,tipp!$J9*pontozas!$B$1)+if(left(tipp!O9,find(":",tipp!O9)-1)-right(tipp!O9,(len(tipp!O9)-find(":",tipp!O9)))=tipp!$G9-tipp!$H9,pontozas!$B$2,0)+if(tipp!O9=tipp!$F9,pontozas!$B$3),""),"")</f>
        <v>0</v>
      </c>
      <c r="G10" t="str">
        <f>if(G$1&lt;&gt;"",iferror(if(if(left(tipp!P9,find(":",tipp!P9)-1)&gt;right(tipp!P9,(len(tipp!P9)-find(":",tipp!P9))),1,if(right(tipp!P9,(len(tipp!P9)-find(":",tipp!P9)))&gt;left(tipp!P9,find(":",tipp!P9)-1),2,"x"))=tipp!$I9,tipp!$J9*pontozas!$B$1)+if(left(tipp!P9,find(":",tipp!P9)-1)-right(tipp!P9,(len(tipp!P9)-find(":",tipp!P9)))=tipp!$G9-tipp!$H9,pontozas!$B$2,0)+if(tipp!P9=tipp!$F9,pontozas!$B$3),""),"")</f>
        <v/>
      </c>
      <c r="H10">
        <f>if(H$1&lt;&gt;"",iferror(if(if(left(tipp!Q9,find(":",tipp!Q9)-1)&gt;right(tipp!Q9,(len(tipp!Q9)-find(":",tipp!Q9))),1,if(right(tipp!Q9,(len(tipp!Q9)-find(":",tipp!Q9)))&gt;left(tipp!Q9,find(":",tipp!Q9)-1),2,"x"))=tipp!$I9,tipp!$J9*pontozas!$B$1)+if(left(tipp!Q9,find(":",tipp!Q9)-1)-right(tipp!Q9,(len(tipp!Q9)-find(":",tipp!Q9)))=tipp!$G9-tipp!$H9,pontozas!$B$2,0)+if(tipp!Q9=tipp!$F9,pontozas!$B$3),""),"")</f>
        <v>0</v>
      </c>
      <c r="I10">
        <f>if(I$1&lt;&gt;"",iferror(if(if(left(tipp!R9,find(":",tipp!R9)-1)&gt;right(tipp!R9,(len(tipp!R9)-find(":",tipp!R9))),1,if(right(tipp!R9,(len(tipp!R9)-find(":",tipp!R9)))&gt;left(tipp!R9,find(":",tipp!R9)-1),2,"x"))=tipp!$I9,tipp!$J9*pontozas!$B$1)+if(left(tipp!R9,find(":",tipp!R9)-1)-right(tipp!R9,(len(tipp!R9)-find(":",tipp!R9)))=tipp!$G9-tipp!$H9,pontozas!$B$2,0)+if(tipp!R9=tipp!$F9,pontozas!$B$3),""),"")</f>
        <v>0</v>
      </c>
      <c r="J10" t="str">
        <f>if(J$1&lt;&gt;"",iferror(if(if(left(tipp!S9,find(":",tipp!S9)-1)&gt;right(tipp!S9,(len(tipp!S9)-find(":",tipp!S9))),1,if(right(tipp!S9,(len(tipp!S9)-find(":",tipp!S9)))&gt;left(tipp!S9,find(":",tipp!S9)-1),2,"x"))=tipp!$I9,tipp!$J9*pontozas!$B$1)+if(left(tipp!S9,find(":",tipp!S9)-1)-right(tipp!S9,(len(tipp!S9)-find(":",tipp!S9)))=tipp!$G9-tipp!$H9,pontozas!$B$2,0)+if(tipp!S9=tipp!$F9,pontozas!$B$3),""),"")</f>
        <v/>
      </c>
      <c r="K10" t="str">
        <f>if(K$1&lt;&gt;"",iferror(if(if(left(tipp!T9,find(":",tipp!T9)-1)&gt;right(tipp!T9,(len(tipp!T9)-find(":",tipp!T9))),1,if(right(tipp!T9,(len(tipp!T9)-find(":",tipp!T9)))&gt;left(tipp!T9,find(":",tipp!T9)-1),2,"x"))=tipp!$I9,tipp!$J9*pontozas!$B$1)+if(left(tipp!T9,find(":",tipp!T9)-1)-right(tipp!T9,(len(tipp!T9)-find(":",tipp!T9)))=tipp!$G9-tipp!$H9,pontozas!$B$2,0)+if(tipp!T9=tipp!$F9,pontozas!$B$3),""),"")</f>
        <v/>
      </c>
      <c r="L10" t="str">
        <f>if(L$1&lt;&gt;"",iferror(if(if(left(tipp!U9,find(":",tipp!U9)-1)&gt;right(tipp!U9,(len(tipp!U9)-find(":",tipp!U9))),1,if(right(tipp!U9,(len(tipp!U9)-find(":",tipp!U9)))&gt;left(tipp!U9,find(":",tipp!U9)-1),2,"x"))=tipp!$I9,tipp!$J9*pontozas!$B$1)+if(left(tipp!U9,find(":",tipp!U9)-1)-right(tipp!U9,(len(tipp!U9)-find(":",tipp!U9)))=tipp!$G9-tipp!$H9,pontozas!$B$2,0)+if(tipp!U9=tipp!$F9,pontozas!$B$3),""),"")</f>
        <v/>
      </c>
      <c r="M10" t="str">
        <f>if(M$1&lt;&gt;"",iferror(if(if(left(tipp!V9,find(":",tipp!V9)-1)&gt;right(tipp!V9,(len(tipp!V9)-find(":",tipp!V9))),1,if(right(tipp!V9,(len(tipp!V9)-find(":",tipp!V9)))&gt;left(tipp!V9,find(":",tipp!V9)-1),2,"x"))=tipp!$I9,tipp!$J9*pontozas!$B$1)+if(left(tipp!V9,find(":",tipp!V9)-1)-right(tipp!V9,(len(tipp!V9)-find(":",tipp!V9)))=tipp!$G9-tipp!$H9,pontozas!$B$2,0)+if(tipp!V9=tipp!$F9,pontozas!$B$3),""),"")</f>
        <v/>
      </c>
      <c r="N10" t="str">
        <f>if(N$1&lt;&gt;"",iferror(if(if(left(tipp!W9,find(":",tipp!W9)-1)&gt;right(tipp!W9,(len(tipp!W9)-find(":",tipp!W9))),1,if(right(tipp!W9,(len(tipp!W9)-find(":",tipp!W9)))&gt;left(tipp!W9,find(":",tipp!W9)-1),2,"x"))=tipp!$I9,tipp!$J9*pontozas!$B$1)+if(left(tipp!W9,find(":",tipp!W9)-1)-right(tipp!W9,(len(tipp!W9)-find(":",tipp!W9)))=tipp!$G9-tipp!$H9,pontozas!$B$2,0)+if(tipp!W9=tipp!$F9,pontozas!$B$3),""),"")</f>
        <v/>
      </c>
      <c r="O10" t="str">
        <f>if(O$1&lt;&gt;"",iferror(if(if(left(tipp!X9,find(":",tipp!X9)-1)&gt;right(tipp!X9,(len(tipp!X9)-find(":",tipp!X9))),1,if(right(tipp!X9,(len(tipp!X9)-find(":",tipp!X9)))&gt;left(tipp!X9,find(":",tipp!X9)-1),2,"x"))=tipp!$I9,tipp!$J9*pontozas!$B$1)+if(left(tipp!X9,find(":",tipp!X9)-1)-right(tipp!X9,(len(tipp!X9)-find(":",tipp!X9)))=tipp!$G9-tipp!$H9,pontozas!$B$2,0)+if(tipp!X9=tipp!$F9,pontozas!$B$3),""),"")</f>
        <v/>
      </c>
    </row>
    <row r="11">
      <c r="A11" t="str">
        <f>CONCATENATE(tipp!A10&amp;" : "&amp;tipp!B10)</f>
        <v>France : Belarus</v>
      </c>
      <c r="B11">
        <f>if(B$1&lt;&gt;"",iferror(if(if(left(tipp!K10,find(":",tipp!K10)-1)&gt;right(tipp!K10,(len(tipp!K10)-find(":",tipp!K10))),1,if(right(tipp!K10,(len(tipp!K10)-find(":",tipp!K10)))&gt;left(tipp!K10,find(":",tipp!K10)-1),2,"x"))=tipp!$I10,tipp!$J10*pontozas!$B$1)+if(left(tipp!K10,find(":",tipp!K10)-1)-right(tipp!K10,(len(tipp!K10)-find(":",tipp!K10)))=tipp!$G10-tipp!$H10,pontozas!$B$2,0)+if(tipp!K10=tipp!$F10,pontozas!$B$3),""),"")</f>
        <v>0</v>
      </c>
      <c r="C11">
        <f>if(C$1&lt;&gt;"",iferror(if(if(left(tipp!L10,find(":",tipp!L10)-1)&gt;right(tipp!L10,(len(tipp!L10)-find(":",tipp!L10))),1,if(right(tipp!L10,(len(tipp!L10)-find(":",tipp!L10)))&gt;left(tipp!L10,find(":",tipp!L10)-1),2,"x"))=tipp!$I10,tipp!$J10*pontozas!$B$1)+if(left(tipp!L10,find(":",tipp!L10)-1)-right(tipp!L10,(len(tipp!L10)-find(":",tipp!L10)))=tipp!$G10-tipp!$H10,pontozas!$B$2,0)+if(tipp!L10=tipp!$F10,pontozas!$B$3),""),"")</f>
        <v>0</v>
      </c>
      <c r="D11">
        <f>if(D$1&lt;&gt;"",iferror(if(if(left(tipp!M10,find(":",tipp!M10)-1)&gt;right(tipp!M10,(len(tipp!M10)-find(":",tipp!M10))),1,if(right(tipp!M10,(len(tipp!M10)-find(":",tipp!M10)))&gt;left(tipp!M10,find(":",tipp!M10)-1),2,"x"))=tipp!$I10,tipp!$J10*pontozas!$B$1)+if(left(tipp!M10,find(":",tipp!M10)-1)-right(tipp!M10,(len(tipp!M10)-find(":",tipp!M10)))=tipp!$G10-tipp!$H10,pontozas!$B$2,0)+if(tipp!M10=tipp!$F10,pontozas!$B$3),""),"")</f>
        <v>2.9</v>
      </c>
      <c r="E11">
        <f>if(E$1&lt;&gt;"",iferror(if(if(left(tipp!N10,find(":",tipp!N10)-1)&gt;right(tipp!N10,(len(tipp!N10)-find(":",tipp!N10))),1,if(right(tipp!N10,(len(tipp!N10)-find(":",tipp!N10)))&gt;left(tipp!N10,find(":",tipp!N10)-1),2,"x"))=tipp!$I10,tipp!$J10*pontozas!$B$1)+if(left(tipp!N10,find(":",tipp!N10)-1)-right(tipp!N10,(len(tipp!N10)-find(":",tipp!N10)))=tipp!$G10-tipp!$H10,pontozas!$B$2,0)+if(tipp!N10=tipp!$F10,pontozas!$B$3),""),"")</f>
        <v>0</v>
      </c>
      <c r="F11">
        <f>if(F$1&lt;&gt;"",iferror(if(if(left(tipp!O10,find(":",tipp!O10)-1)&gt;right(tipp!O10,(len(tipp!O10)-find(":",tipp!O10))),1,if(right(tipp!O10,(len(tipp!O10)-find(":",tipp!O10)))&gt;left(tipp!O10,find(":",tipp!O10)-1),2,"x"))=tipp!$I10,tipp!$J10*pontozas!$B$1)+if(left(tipp!O10,find(":",tipp!O10)-1)-right(tipp!O10,(len(tipp!O10)-find(":",tipp!O10)))=tipp!$G10-tipp!$H10,pontozas!$B$2,0)+if(tipp!O10=tipp!$F10,pontozas!$B$3),""),"")</f>
        <v>0</v>
      </c>
      <c r="G11" t="str">
        <f>if(G$1&lt;&gt;"",iferror(if(if(left(tipp!P10,find(":",tipp!P10)-1)&gt;right(tipp!P10,(len(tipp!P10)-find(":",tipp!P10))),1,if(right(tipp!P10,(len(tipp!P10)-find(":",tipp!P10)))&gt;left(tipp!P10,find(":",tipp!P10)-1),2,"x"))=tipp!$I10,tipp!$J10*pontozas!$B$1)+if(left(tipp!P10,find(":",tipp!P10)-1)-right(tipp!P10,(len(tipp!P10)-find(":",tipp!P10)))=tipp!$G10-tipp!$H10,pontozas!$B$2,0)+if(tipp!P10=tipp!$F10,pontozas!$B$3),""),"")</f>
        <v/>
      </c>
      <c r="H11">
        <f>if(H$1&lt;&gt;"",iferror(if(if(left(tipp!Q10,find(":",tipp!Q10)-1)&gt;right(tipp!Q10,(len(tipp!Q10)-find(":",tipp!Q10))),1,if(right(tipp!Q10,(len(tipp!Q10)-find(":",tipp!Q10)))&gt;left(tipp!Q10,find(":",tipp!Q10)-1),2,"x"))=tipp!$I10,tipp!$J10*pontozas!$B$1)+if(left(tipp!Q10,find(":",tipp!Q10)-1)-right(tipp!Q10,(len(tipp!Q10)-find(":",tipp!Q10)))=tipp!$G10-tipp!$H10,pontozas!$B$2,0)+if(tipp!Q10=tipp!$F10,pontozas!$B$3),""),"")</f>
        <v>2.9</v>
      </c>
      <c r="I11">
        <f>if(I$1&lt;&gt;"",iferror(if(if(left(tipp!R10,find(":",tipp!R10)-1)&gt;right(tipp!R10,(len(tipp!R10)-find(":",tipp!R10))),1,if(right(tipp!R10,(len(tipp!R10)-find(":",tipp!R10)))&gt;left(tipp!R10,find(":",tipp!R10)-1),2,"x"))=tipp!$I10,tipp!$J10*pontozas!$B$1)+if(left(tipp!R10,find(":",tipp!R10)-1)-right(tipp!R10,(len(tipp!R10)-find(":",tipp!R10)))=tipp!$G10-tipp!$H10,pontozas!$B$2,0)+if(tipp!R10=tipp!$F10,pontozas!$B$3),""),"")</f>
        <v>0</v>
      </c>
      <c r="J11" t="str">
        <f>if(J$1&lt;&gt;"",iferror(if(if(left(tipp!S10,find(":",tipp!S10)-1)&gt;right(tipp!S10,(len(tipp!S10)-find(":",tipp!S10))),1,if(right(tipp!S10,(len(tipp!S10)-find(":",tipp!S10)))&gt;left(tipp!S10,find(":",tipp!S10)-1),2,"x"))=tipp!$I10,tipp!$J10*pontozas!$B$1)+if(left(tipp!S10,find(":",tipp!S10)-1)-right(tipp!S10,(len(tipp!S10)-find(":",tipp!S10)))=tipp!$G10-tipp!$H10,pontozas!$B$2,0)+if(tipp!S10=tipp!$F10,pontozas!$B$3),""),"")</f>
        <v/>
      </c>
      <c r="K11" t="str">
        <f>if(K$1&lt;&gt;"",iferror(if(if(left(tipp!T10,find(":",tipp!T10)-1)&gt;right(tipp!T10,(len(tipp!T10)-find(":",tipp!T10))),1,if(right(tipp!T10,(len(tipp!T10)-find(":",tipp!T10)))&gt;left(tipp!T10,find(":",tipp!T10)-1),2,"x"))=tipp!$I10,tipp!$J10*pontozas!$B$1)+if(left(tipp!T10,find(":",tipp!T10)-1)-right(tipp!T10,(len(tipp!T10)-find(":",tipp!T10)))=tipp!$G10-tipp!$H10,pontozas!$B$2,0)+if(tipp!T10=tipp!$F10,pontozas!$B$3),""),"")</f>
        <v/>
      </c>
      <c r="L11" t="str">
        <f>if(L$1&lt;&gt;"",iferror(if(if(left(tipp!U10,find(":",tipp!U10)-1)&gt;right(tipp!U10,(len(tipp!U10)-find(":",tipp!U10))),1,if(right(tipp!U10,(len(tipp!U10)-find(":",tipp!U10)))&gt;left(tipp!U10,find(":",tipp!U10)-1),2,"x"))=tipp!$I10,tipp!$J10*pontozas!$B$1)+if(left(tipp!U10,find(":",tipp!U10)-1)-right(tipp!U10,(len(tipp!U10)-find(":",tipp!U10)))=tipp!$G10-tipp!$H10,pontozas!$B$2,0)+if(tipp!U10=tipp!$F10,pontozas!$B$3),""),"")</f>
        <v/>
      </c>
      <c r="M11" t="str">
        <f>if(M$1&lt;&gt;"",iferror(if(if(left(tipp!V10,find(":",tipp!V10)-1)&gt;right(tipp!V10,(len(tipp!V10)-find(":",tipp!V10))),1,if(right(tipp!V10,(len(tipp!V10)-find(":",tipp!V10)))&gt;left(tipp!V10,find(":",tipp!V10)-1),2,"x"))=tipp!$I10,tipp!$J10*pontozas!$B$1)+if(left(tipp!V10,find(":",tipp!V10)-1)-right(tipp!V10,(len(tipp!V10)-find(":",tipp!V10)))=tipp!$G10-tipp!$H10,pontozas!$B$2,0)+if(tipp!V10=tipp!$F10,pontozas!$B$3),""),"")</f>
        <v/>
      </c>
      <c r="N11" t="str">
        <f>if(N$1&lt;&gt;"",iferror(if(if(left(tipp!W10,find(":",tipp!W10)-1)&gt;right(tipp!W10,(len(tipp!W10)-find(":",tipp!W10))),1,if(right(tipp!W10,(len(tipp!W10)-find(":",tipp!W10)))&gt;left(tipp!W10,find(":",tipp!W10)-1),2,"x"))=tipp!$I10,tipp!$J10*pontozas!$B$1)+if(left(tipp!W10,find(":",tipp!W10)-1)-right(tipp!W10,(len(tipp!W10)-find(":",tipp!W10)))=tipp!$G10-tipp!$H10,pontozas!$B$2,0)+if(tipp!W10=tipp!$F10,pontozas!$B$3),""),"")</f>
        <v/>
      </c>
      <c r="O11" t="str">
        <f>if(O$1&lt;&gt;"",iferror(if(if(left(tipp!X10,find(":",tipp!X10)-1)&gt;right(tipp!X10,(len(tipp!X10)-find(":",tipp!X10))),1,if(right(tipp!X10,(len(tipp!X10)-find(":",tipp!X10)))&gt;left(tipp!X10,find(":",tipp!X10)-1),2,"x"))=tipp!$I10,tipp!$J10*pontozas!$B$1)+if(left(tipp!X10,find(":",tipp!X10)-1)-right(tipp!X10,(len(tipp!X10)-find(":",tipp!X10)))=tipp!$G10-tipp!$H10,pontozas!$B$2,0)+if(tipp!X10=tipp!$F10,pontozas!$B$3),""),"")</f>
        <v/>
      </c>
    </row>
    <row r="12">
      <c r="A12" t="str">
        <f>CONCATENATE(tipp!A11&amp;" : "&amp;tipp!B11)</f>
        <v>Czech Republic : Slovakia</v>
      </c>
      <c r="B12">
        <f>if(B$1&lt;&gt;"",iferror(if(if(left(tipp!K11,find(":",tipp!K11)-1)&gt;right(tipp!K11,(len(tipp!K11)-find(":",tipp!K11))),1,if(right(tipp!K11,(len(tipp!K11)-find(":",tipp!K11)))&gt;left(tipp!K11,find(":",tipp!K11)-1),2,"x"))=tipp!$I11,tipp!$J11*pontozas!$B$1)+if(left(tipp!K11,find(":",tipp!K11)-1)-right(tipp!K11,(len(tipp!K11)-find(":",tipp!K11)))=tipp!$G11-tipp!$H11,pontozas!$B$2,0)+if(tipp!K11=tipp!$F11,pontozas!$B$3),""),"")</f>
        <v>0</v>
      </c>
      <c r="C12">
        <f>if(C$1&lt;&gt;"",iferror(if(if(left(tipp!L11,find(":",tipp!L11)-1)&gt;right(tipp!L11,(len(tipp!L11)-find(":",tipp!L11))),1,if(right(tipp!L11,(len(tipp!L11)-find(":",tipp!L11)))&gt;left(tipp!L11,find(":",tipp!L11)-1),2,"x"))=tipp!$I11,tipp!$J11*pontozas!$B$1)+if(left(tipp!L11,find(":",tipp!L11)-1)-right(tipp!L11,(len(tipp!L11)-find(":",tipp!L11)))=tipp!$G11-tipp!$H11,pontozas!$B$2,0)+if(tipp!L11=tipp!$F11,pontozas!$B$3),""),"")</f>
        <v>0</v>
      </c>
      <c r="D12">
        <f>if(D$1&lt;&gt;"",iferror(if(if(left(tipp!M11,find(":",tipp!M11)-1)&gt;right(tipp!M11,(len(tipp!M11)-find(":",tipp!M11))),1,if(right(tipp!M11,(len(tipp!M11)-find(":",tipp!M11)))&gt;left(tipp!M11,find(":",tipp!M11)-1),2,"x"))=tipp!$I11,tipp!$J11*pontozas!$B$1)+if(left(tipp!M11,find(":",tipp!M11)-1)-right(tipp!M11,(len(tipp!M11)-find(":",tipp!M11)))=tipp!$G11-tipp!$H11,pontozas!$B$2,0)+if(tipp!M11=tipp!$F11,pontozas!$B$3),""),"")</f>
        <v>0</v>
      </c>
      <c r="E12">
        <f>if(E$1&lt;&gt;"",iferror(if(if(left(tipp!N11,find(":",tipp!N11)-1)&gt;right(tipp!N11,(len(tipp!N11)-find(":",tipp!N11))),1,if(right(tipp!N11,(len(tipp!N11)-find(":",tipp!N11)))&gt;left(tipp!N11,find(":",tipp!N11)-1),2,"x"))=tipp!$I11,tipp!$J11*pontozas!$B$1)+if(left(tipp!N11,find(":",tipp!N11)-1)-right(tipp!N11,(len(tipp!N11)-find(":",tipp!N11)))=tipp!$G11-tipp!$H11,pontozas!$B$2,0)+if(tipp!N11=tipp!$F11,pontozas!$B$3),""),"")</f>
        <v>0</v>
      </c>
      <c r="F12">
        <f>if(F$1&lt;&gt;"",iferror(if(if(left(tipp!O11,find(":",tipp!O11)-1)&gt;right(tipp!O11,(len(tipp!O11)-find(":",tipp!O11))),1,if(right(tipp!O11,(len(tipp!O11)-find(":",tipp!O11)))&gt;left(tipp!O11,find(":",tipp!O11)-1),2,"x"))=tipp!$I11,tipp!$J11*pontozas!$B$1)+if(left(tipp!O11,find(":",tipp!O11)-1)-right(tipp!O11,(len(tipp!O11)-find(":",tipp!O11)))=tipp!$G11-tipp!$H11,pontozas!$B$2,0)+if(tipp!O11=tipp!$F11,pontozas!$B$3),""),"")</f>
        <v>0</v>
      </c>
      <c r="G12" t="str">
        <f>if(G$1&lt;&gt;"",iferror(if(if(left(tipp!P11,find(":",tipp!P11)-1)&gt;right(tipp!P11,(len(tipp!P11)-find(":",tipp!P11))),1,if(right(tipp!P11,(len(tipp!P11)-find(":",tipp!P11)))&gt;left(tipp!P11,find(":",tipp!P11)-1),2,"x"))=tipp!$I11,tipp!$J11*pontozas!$B$1)+if(left(tipp!P11,find(":",tipp!P11)-1)-right(tipp!P11,(len(tipp!P11)-find(":",tipp!P11)))=tipp!$G11-tipp!$H11,pontozas!$B$2,0)+if(tipp!P11=tipp!$F11,pontozas!$B$3),""),"")</f>
        <v/>
      </c>
      <c r="H12">
        <f>if(H$1&lt;&gt;"",iferror(if(if(left(tipp!Q11,find(":",tipp!Q11)-1)&gt;right(tipp!Q11,(len(tipp!Q11)-find(":",tipp!Q11))),1,if(right(tipp!Q11,(len(tipp!Q11)-find(":",tipp!Q11)))&gt;left(tipp!Q11,find(":",tipp!Q11)-1),2,"x"))=tipp!$I11,tipp!$J11*pontozas!$B$1)+if(left(tipp!Q11,find(":",tipp!Q11)-1)-right(tipp!Q11,(len(tipp!Q11)-find(":",tipp!Q11)))=tipp!$G11-tipp!$H11,pontozas!$B$2,0)+if(tipp!Q11=tipp!$F11,pontozas!$B$3),""),"")</f>
        <v>0</v>
      </c>
      <c r="I12">
        <f>if(I$1&lt;&gt;"",iferror(if(if(left(tipp!R11,find(":",tipp!R11)-1)&gt;right(tipp!R11,(len(tipp!R11)-find(":",tipp!R11))),1,if(right(tipp!R11,(len(tipp!R11)-find(":",tipp!R11)))&gt;left(tipp!R11,find(":",tipp!R11)-1),2,"x"))=tipp!$I11,tipp!$J11*pontozas!$B$1)+if(left(tipp!R11,find(":",tipp!R11)-1)-right(tipp!R11,(len(tipp!R11)-find(":",tipp!R11)))=tipp!$G11-tipp!$H11,pontozas!$B$2,0)+if(tipp!R11=tipp!$F11,pontozas!$B$3),""),"")</f>
        <v>7.25</v>
      </c>
      <c r="J12" t="str">
        <f>if(J$1&lt;&gt;"",iferror(if(if(left(tipp!S11,find(":",tipp!S11)-1)&gt;right(tipp!S11,(len(tipp!S11)-find(":",tipp!S11))),1,if(right(tipp!S11,(len(tipp!S11)-find(":",tipp!S11)))&gt;left(tipp!S11,find(":",tipp!S11)-1),2,"x"))=tipp!$I11,tipp!$J11*pontozas!$B$1)+if(left(tipp!S11,find(":",tipp!S11)-1)-right(tipp!S11,(len(tipp!S11)-find(":",tipp!S11)))=tipp!$G11-tipp!$H11,pontozas!$B$2,0)+if(tipp!S11=tipp!$F11,pontozas!$B$3),""),"")</f>
        <v/>
      </c>
      <c r="K12" t="str">
        <f>if(K$1&lt;&gt;"",iferror(if(if(left(tipp!T11,find(":",tipp!T11)-1)&gt;right(tipp!T11,(len(tipp!T11)-find(":",tipp!T11))),1,if(right(tipp!T11,(len(tipp!T11)-find(":",tipp!T11)))&gt;left(tipp!T11,find(":",tipp!T11)-1),2,"x"))=tipp!$I11,tipp!$J11*pontozas!$B$1)+if(left(tipp!T11,find(":",tipp!T11)-1)-right(tipp!T11,(len(tipp!T11)-find(":",tipp!T11)))=tipp!$G11-tipp!$H11,pontozas!$B$2,0)+if(tipp!T11=tipp!$F11,pontozas!$B$3),""),"")</f>
        <v/>
      </c>
      <c r="L12" t="str">
        <f>if(L$1&lt;&gt;"",iferror(if(if(left(tipp!U11,find(":",tipp!U11)-1)&gt;right(tipp!U11,(len(tipp!U11)-find(":",tipp!U11))),1,if(right(tipp!U11,(len(tipp!U11)-find(":",tipp!U11)))&gt;left(tipp!U11,find(":",tipp!U11)-1),2,"x"))=tipp!$I11,tipp!$J11*pontozas!$B$1)+if(left(tipp!U11,find(":",tipp!U11)-1)-right(tipp!U11,(len(tipp!U11)-find(":",tipp!U11)))=tipp!$G11-tipp!$H11,pontozas!$B$2,0)+if(tipp!U11=tipp!$F11,pontozas!$B$3),""),"")</f>
        <v/>
      </c>
      <c r="M12" t="str">
        <f>if(M$1&lt;&gt;"",iferror(if(if(left(tipp!V11,find(":",tipp!V11)-1)&gt;right(tipp!V11,(len(tipp!V11)-find(":",tipp!V11))),1,if(right(tipp!V11,(len(tipp!V11)-find(":",tipp!V11)))&gt;left(tipp!V11,find(":",tipp!V11)-1),2,"x"))=tipp!$I11,tipp!$J11*pontozas!$B$1)+if(left(tipp!V11,find(":",tipp!V11)-1)-right(tipp!V11,(len(tipp!V11)-find(":",tipp!V11)))=tipp!$G11-tipp!$H11,pontozas!$B$2,0)+if(tipp!V11=tipp!$F11,pontozas!$B$3),""),"")</f>
        <v/>
      </c>
      <c r="N12" t="str">
        <f>if(N$1&lt;&gt;"",iferror(if(if(left(tipp!W11,find(":",tipp!W11)-1)&gt;right(tipp!W11,(len(tipp!W11)-find(":",tipp!W11))),1,if(right(tipp!W11,(len(tipp!W11)-find(":",tipp!W11)))&gt;left(tipp!W11,find(":",tipp!W11)-1),2,"x"))=tipp!$I11,tipp!$J11*pontozas!$B$1)+if(left(tipp!W11,find(":",tipp!W11)-1)-right(tipp!W11,(len(tipp!W11)-find(":",tipp!W11)))=tipp!$G11-tipp!$H11,pontozas!$B$2,0)+if(tipp!W11=tipp!$F11,pontozas!$B$3),""),"")</f>
        <v/>
      </c>
      <c r="O12" t="str">
        <f>if(O$1&lt;&gt;"",iferror(if(if(left(tipp!X11,find(":",tipp!X11)-1)&gt;right(tipp!X11,(len(tipp!X11)-find(":",tipp!X11))),1,if(right(tipp!X11,(len(tipp!X11)-find(":",tipp!X11)))&gt;left(tipp!X11,find(":",tipp!X11)-1),2,"x"))=tipp!$I11,tipp!$J11*pontozas!$B$1)+if(left(tipp!X11,find(":",tipp!X11)-1)-right(tipp!X11,(len(tipp!X11)-find(":",tipp!X11)))=tipp!$G11-tipp!$H11,pontozas!$B$2,0)+if(tipp!X11=tipp!$F11,pontozas!$B$3),""),"")</f>
        <v/>
      </c>
    </row>
    <row r="13">
      <c r="A13" t="str">
        <f>CONCATENATE(tipp!A12&amp;" : "&amp;tipp!B12)</f>
        <v>Norway : Latvia</v>
      </c>
      <c r="B13">
        <f>if(B$1&lt;&gt;"",iferror(if(if(left(tipp!K12,find(":",tipp!K12)-1)&gt;right(tipp!K12,(len(tipp!K12)-find(":",tipp!K12))),1,if(right(tipp!K12,(len(tipp!K12)-find(":",tipp!K12)))&gt;left(tipp!K12,find(":",tipp!K12)-1),2,"x"))=tipp!$I12,tipp!$J12*pontozas!$B$1)+if(left(tipp!K12,find(":",tipp!K12)-1)-right(tipp!K12,(len(tipp!K12)-find(":",tipp!K12)))=tipp!$G12-tipp!$H12,pontozas!$B$2,0)+if(tipp!K12=tipp!$F12,pontozas!$B$3),""),"")</f>
        <v>0</v>
      </c>
      <c r="C13">
        <f>if(C$1&lt;&gt;"",iferror(if(if(left(tipp!L12,find(":",tipp!L12)-1)&gt;right(tipp!L12,(len(tipp!L12)-find(":",tipp!L12))),1,if(right(tipp!L12,(len(tipp!L12)-find(":",tipp!L12)))&gt;left(tipp!L12,find(":",tipp!L12)-1),2,"x"))=tipp!$I12,tipp!$J12*pontozas!$B$1)+if(left(tipp!L12,find(":",tipp!L12)-1)-right(tipp!L12,(len(tipp!L12)-find(":",tipp!L12)))=tipp!$G12-tipp!$H12,pontozas!$B$2,0)+if(tipp!L12=tipp!$F12,pontozas!$B$3),""),"")</f>
        <v>0</v>
      </c>
      <c r="D13">
        <f>if(D$1&lt;&gt;"",iferror(if(if(left(tipp!M12,find(":",tipp!M12)-1)&gt;right(tipp!M12,(len(tipp!M12)-find(":",tipp!M12))),1,if(right(tipp!M12,(len(tipp!M12)-find(":",tipp!M12)))&gt;left(tipp!M12,find(":",tipp!M12)-1),2,"x"))=tipp!$I12,tipp!$J12*pontozas!$B$1)+if(left(tipp!M12,find(":",tipp!M12)-1)-right(tipp!M12,(len(tipp!M12)-find(":",tipp!M12)))=tipp!$G12-tipp!$H12,pontozas!$B$2,0)+if(tipp!M12=tipp!$F12,pontozas!$B$3),""),"")</f>
        <v>0</v>
      </c>
      <c r="E13">
        <f>if(E$1&lt;&gt;"",iferror(if(if(left(tipp!N12,find(":",tipp!N12)-1)&gt;right(tipp!N12,(len(tipp!N12)-find(":",tipp!N12))),1,if(right(tipp!N12,(len(tipp!N12)-find(":",tipp!N12)))&gt;left(tipp!N12,find(":",tipp!N12)-1),2,"x"))=tipp!$I12,tipp!$J12*pontozas!$B$1)+if(left(tipp!N12,find(":",tipp!N12)-1)-right(tipp!N12,(len(tipp!N12)-find(":",tipp!N12)))=tipp!$G12-tipp!$H12,pontozas!$B$2,0)+if(tipp!N12=tipp!$F12,pontozas!$B$3),""),"")</f>
        <v>5</v>
      </c>
      <c r="F13">
        <f>if(F$1&lt;&gt;"",iferror(if(if(left(tipp!O12,find(":",tipp!O12)-1)&gt;right(tipp!O12,(len(tipp!O12)-find(":",tipp!O12))),1,if(right(tipp!O12,(len(tipp!O12)-find(":",tipp!O12)))&gt;left(tipp!O12,find(":",tipp!O12)-1),2,"x"))=tipp!$I12,tipp!$J12*pontozas!$B$1)+if(left(tipp!O12,find(":",tipp!O12)-1)-right(tipp!O12,(len(tipp!O12)-find(":",tipp!O12)))=tipp!$G12-tipp!$H12,pontozas!$B$2,0)+if(tipp!O12=tipp!$F12,pontozas!$B$3),""),"")</f>
        <v>0</v>
      </c>
      <c r="G13" t="str">
        <f>if(G$1&lt;&gt;"",iferror(if(if(left(tipp!P12,find(":",tipp!P12)-1)&gt;right(tipp!P12,(len(tipp!P12)-find(":",tipp!P12))),1,if(right(tipp!P12,(len(tipp!P12)-find(":",tipp!P12)))&gt;left(tipp!P12,find(":",tipp!P12)-1),2,"x"))=tipp!$I12,tipp!$J12*pontozas!$B$1)+if(left(tipp!P12,find(":",tipp!P12)-1)-right(tipp!P12,(len(tipp!P12)-find(":",tipp!P12)))=tipp!$G12-tipp!$H12,pontozas!$B$2,0)+if(tipp!P12=tipp!$F12,pontozas!$B$3),""),"")</f>
        <v/>
      </c>
      <c r="H13">
        <f>if(H$1&lt;&gt;"",iferror(if(if(left(tipp!Q12,find(":",tipp!Q12)-1)&gt;right(tipp!Q12,(len(tipp!Q12)-find(":",tipp!Q12))),1,if(right(tipp!Q12,(len(tipp!Q12)-find(":",tipp!Q12)))&gt;left(tipp!Q12,find(":",tipp!Q12)-1),2,"x"))=tipp!$I12,tipp!$J12*pontozas!$B$1)+if(left(tipp!Q12,find(":",tipp!Q12)-1)-right(tipp!Q12,(len(tipp!Q12)-find(":",tipp!Q12)))=tipp!$G12-tipp!$H12,pontozas!$B$2,0)+if(tipp!Q12=tipp!$F12,pontozas!$B$3),""),"")</f>
        <v>5</v>
      </c>
      <c r="I13">
        <f>if(I$1&lt;&gt;"",iferror(if(if(left(tipp!R12,find(":",tipp!R12)-1)&gt;right(tipp!R12,(len(tipp!R12)-find(":",tipp!R12))),1,if(right(tipp!R12,(len(tipp!R12)-find(":",tipp!R12)))&gt;left(tipp!R12,find(":",tipp!R12)-1),2,"x"))=tipp!$I12,tipp!$J12*pontozas!$B$1)+if(left(tipp!R12,find(":",tipp!R12)-1)-right(tipp!R12,(len(tipp!R12)-find(":",tipp!R12)))=tipp!$G12-tipp!$H12,pontozas!$B$2,0)+if(tipp!R12=tipp!$F12,pontozas!$B$3),""),"")</f>
        <v>6</v>
      </c>
      <c r="J13" t="str">
        <f>if(J$1&lt;&gt;"",iferror(if(if(left(tipp!S12,find(":",tipp!S12)-1)&gt;right(tipp!S12,(len(tipp!S12)-find(":",tipp!S12))),1,if(right(tipp!S12,(len(tipp!S12)-find(":",tipp!S12)))&gt;left(tipp!S12,find(":",tipp!S12)-1),2,"x"))=tipp!$I12,tipp!$J12*pontozas!$B$1)+if(left(tipp!S12,find(":",tipp!S12)-1)-right(tipp!S12,(len(tipp!S12)-find(":",tipp!S12)))=tipp!$G12-tipp!$H12,pontozas!$B$2,0)+if(tipp!S12=tipp!$F12,pontozas!$B$3),""),"")</f>
        <v/>
      </c>
      <c r="K13" t="str">
        <f>if(K$1&lt;&gt;"",iferror(if(if(left(tipp!T12,find(":",tipp!T12)-1)&gt;right(tipp!T12,(len(tipp!T12)-find(":",tipp!T12))),1,if(right(tipp!T12,(len(tipp!T12)-find(":",tipp!T12)))&gt;left(tipp!T12,find(":",tipp!T12)-1),2,"x"))=tipp!$I12,tipp!$J12*pontozas!$B$1)+if(left(tipp!T12,find(":",tipp!T12)-1)-right(tipp!T12,(len(tipp!T12)-find(":",tipp!T12)))=tipp!$G12-tipp!$H12,pontozas!$B$2,0)+if(tipp!T12=tipp!$F12,pontozas!$B$3),""),"")</f>
        <v/>
      </c>
      <c r="L13" t="str">
        <f>if(L$1&lt;&gt;"",iferror(if(if(left(tipp!U12,find(":",tipp!U12)-1)&gt;right(tipp!U12,(len(tipp!U12)-find(":",tipp!U12))),1,if(right(tipp!U12,(len(tipp!U12)-find(":",tipp!U12)))&gt;left(tipp!U12,find(":",tipp!U12)-1),2,"x"))=tipp!$I12,tipp!$J12*pontozas!$B$1)+if(left(tipp!U12,find(":",tipp!U12)-1)-right(tipp!U12,(len(tipp!U12)-find(":",tipp!U12)))=tipp!$G12-tipp!$H12,pontozas!$B$2,0)+if(tipp!U12=tipp!$F12,pontozas!$B$3),""),"")</f>
        <v/>
      </c>
      <c r="M13" t="str">
        <f>if(M$1&lt;&gt;"",iferror(if(if(left(tipp!V12,find(":",tipp!V12)-1)&gt;right(tipp!V12,(len(tipp!V12)-find(":",tipp!V12))),1,if(right(tipp!V12,(len(tipp!V12)-find(":",tipp!V12)))&gt;left(tipp!V12,find(":",tipp!V12)-1),2,"x"))=tipp!$I12,tipp!$J12*pontozas!$B$1)+if(left(tipp!V12,find(":",tipp!V12)-1)-right(tipp!V12,(len(tipp!V12)-find(":",tipp!V12)))=tipp!$G12-tipp!$H12,pontozas!$B$2,0)+if(tipp!V12=tipp!$F12,pontozas!$B$3),""),"")</f>
        <v/>
      </c>
      <c r="N13" t="str">
        <f>if(N$1&lt;&gt;"",iferror(if(if(left(tipp!W12,find(":",tipp!W12)-1)&gt;right(tipp!W12,(len(tipp!W12)-find(":",tipp!W12))),1,if(right(tipp!W12,(len(tipp!W12)-find(":",tipp!W12)))&gt;left(tipp!W12,find(":",tipp!W12)-1),2,"x"))=tipp!$I12,tipp!$J12*pontozas!$B$1)+if(left(tipp!W12,find(":",tipp!W12)-1)-right(tipp!W12,(len(tipp!W12)-find(":",tipp!W12)))=tipp!$G12-tipp!$H12,pontozas!$B$2,0)+if(tipp!W12=tipp!$F12,pontozas!$B$3),""),"")</f>
        <v/>
      </c>
      <c r="O13" t="str">
        <f>if(O$1&lt;&gt;"",iferror(if(if(left(tipp!X12,find(":",tipp!X12)-1)&gt;right(tipp!X12,(len(tipp!X12)-find(":",tipp!X12))),1,if(right(tipp!X12,(len(tipp!X12)-find(":",tipp!X12)))&gt;left(tipp!X12,find(":",tipp!X12)-1),2,"x"))=tipp!$I12,tipp!$J12*pontozas!$B$1)+if(left(tipp!X12,find(":",tipp!X12)-1)-right(tipp!X12,(len(tipp!X12)-find(":",tipp!X12)))=tipp!$G12-tipp!$H12,pontozas!$B$2,0)+if(tipp!X12=tipp!$F12,pontozas!$B$3),""),"")</f>
        <v/>
      </c>
    </row>
    <row r="14">
      <c r="A14" t="str">
        <f>CONCATENATE(tipp!A13&amp;" : "&amp;tipp!B13)</f>
        <v>Finland : South Korea</v>
      </c>
      <c r="B14">
        <f>if(B$1&lt;&gt;"",iferror(if(if(left(tipp!K13,find(":",tipp!K13)-1)&gt;right(tipp!K13,(len(tipp!K13)-find(":",tipp!K13))),1,if(right(tipp!K13,(len(tipp!K13)-find(":",tipp!K13)))&gt;left(tipp!K13,find(":",tipp!K13)-1),2,"x"))=tipp!$I13,tipp!$J13*pontozas!$B$1)+if(left(tipp!K13,find(":",tipp!K13)-1)-right(tipp!K13,(len(tipp!K13)-find(":",tipp!K13)))=tipp!$G13-tipp!$H13,pontozas!$B$2,0)+if(tipp!K13=tipp!$F13,pontozas!$B$3),""),"")</f>
        <v>1.02</v>
      </c>
      <c r="C14">
        <f>if(C$1&lt;&gt;"",iferror(if(if(left(tipp!L13,find(":",tipp!L13)-1)&gt;right(tipp!L13,(len(tipp!L13)-find(":",tipp!L13))),1,if(right(tipp!L13,(len(tipp!L13)-find(":",tipp!L13)))&gt;left(tipp!L13,find(":",tipp!L13)-1),2,"x"))=tipp!$I13,tipp!$J13*pontozas!$B$1)+if(left(tipp!L13,find(":",tipp!L13)-1)-right(tipp!L13,(len(tipp!L13)-find(":",tipp!L13)))=tipp!$G13-tipp!$H13,pontozas!$B$2,0)+if(tipp!L13=tipp!$F13,pontozas!$B$3),""),"")</f>
        <v>1.02</v>
      </c>
      <c r="D14">
        <f>if(D$1&lt;&gt;"",iferror(if(if(left(tipp!M13,find(":",tipp!M13)-1)&gt;right(tipp!M13,(len(tipp!M13)-find(":",tipp!M13))),1,if(right(tipp!M13,(len(tipp!M13)-find(":",tipp!M13)))&gt;left(tipp!M13,find(":",tipp!M13)-1),2,"x"))=tipp!$I13,tipp!$J13*pontozas!$B$1)+if(left(tipp!M13,find(":",tipp!M13)-1)-right(tipp!M13,(len(tipp!M13)-find(":",tipp!M13)))=tipp!$G13-tipp!$H13,pontozas!$B$2,0)+if(tipp!M13=tipp!$F13,pontozas!$B$3),""),"")</f>
        <v>1.02</v>
      </c>
      <c r="E14">
        <f>if(E$1&lt;&gt;"",iferror(if(if(left(tipp!N13,find(":",tipp!N13)-1)&gt;right(tipp!N13,(len(tipp!N13)-find(":",tipp!N13))),1,if(right(tipp!N13,(len(tipp!N13)-find(":",tipp!N13)))&gt;left(tipp!N13,find(":",tipp!N13)-1),2,"x"))=tipp!$I13,tipp!$J13*pontozas!$B$1)+if(left(tipp!N13,find(":",tipp!N13)-1)-right(tipp!N13,(len(tipp!N13)-find(":",tipp!N13)))=tipp!$G13-tipp!$H13,pontozas!$B$2,0)+if(tipp!N13=tipp!$F13,pontozas!$B$3),""),"")</f>
        <v>1.02</v>
      </c>
      <c r="F14">
        <f>if(F$1&lt;&gt;"",iferror(if(if(left(tipp!O13,find(":",tipp!O13)-1)&gt;right(tipp!O13,(len(tipp!O13)-find(":",tipp!O13))),1,if(right(tipp!O13,(len(tipp!O13)-find(":",tipp!O13)))&gt;left(tipp!O13,find(":",tipp!O13)-1),2,"x"))=tipp!$I13,tipp!$J13*pontozas!$B$1)+if(left(tipp!O13,find(":",tipp!O13)-1)-right(tipp!O13,(len(tipp!O13)-find(":",tipp!O13)))=tipp!$G13-tipp!$H13,pontozas!$B$2,0)+if(tipp!O13=tipp!$F13,pontozas!$B$3),""),"")</f>
        <v>1.02</v>
      </c>
      <c r="G14" t="str">
        <f>if(G$1&lt;&gt;"",iferror(if(if(left(tipp!P13,find(":",tipp!P13)-1)&gt;right(tipp!P13,(len(tipp!P13)-find(":",tipp!P13))),1,if(right(tipp!P13,(len(tipp!P13)-find(":",tipp!P13)))&gt;left(tipp!P13,find(":",tipp!P13)-1),2,"x"))=tipp!$I13,tipp!$J13*pontozas!$B$1)+if(left(tipp!P13,find(":",tipp!P13)-1)-right(tipp!P13,(len(tipp!P13)-find(":",tipp!P13)))=tipp!$G13-tipp!$H13,pontozas!$B$2,0)+if(tipp!P13=tipp!$F13,pontozas!$B$3),""),"")</f>
        <v/>
      </c>
      <c r="H14">
        <f>if(H$1&lt;&gt;"",iferror(if(if(left(tipp!Q13,find(":",tipp!Q13)-1)&gt;right(tipp!Q13,(len(tipp!Q13)-find(":",tipp!Q13))),1,if(right(tipp!Q13,(len(tipp!Q13)-find(":",tipp!Q13)))&gt;left(tipp!Q13,find(":",tipp!Q13)-1),2,"x"))=tipp!$I13,tipp!$J13*pontozas!$B$1)+if(left(tipp!Q13,find(":",tipp!Q13)-1)-right(tipp!Q13,(len(tipp!Q13)-find(":",tipp!Q13)))=tipp!$G13-tipp!$H13,pontozas!$B$2,0)+if(tipp!Q13=tipp!$F13,pontozas!$B$3),""),"")</f>
        <v>2.02</v>
      </c>
      <c r="I14">
        <f>if(I$1&lt;&gt;"",iferror(if(if(left(tipp!R13,find(":",tipp!R13)-1)&gt;right(tipp!R13,(len(tipp!R13)-find(":",tipp!R13))),1,if(right(tipp!R13,(len(tipp!R13)-find(":",tipp!R13)))&gt;left(tipp!R13,find(":",tipp!R13)-1),2,"x"))=tipp!$I13,tipp!$J13*pontozas!$B$1)+if(left(tipp!R13,find(":",tipp!R13)-1)-right(tipp!R13,(len(tipp!R13)-find(":",tipp!R13)))=tipp!$G13-tipp!$H13,pontozas!$B$2,0)+if(tipp!R13=tipp!$F13,pontozas!$B$3),""),"")</f>
        <v>1.02</v>
      </c>
      <c r="J14" t="str">
        <f>if(J$1&lt;&gt;"",iferror(if(if(left(tipp!S13,find(":",tipp!S13)-1)&gt;right(tipp!S13,(len(tipp!S13)-find(":",tipp!S13))),1,if(right(tipp!S13,(len(tipp!S13)-find(":",tipp!S13)))&gt;left(tipp!S13,find(":",tipp!S13)-1),2,"x"))=tipp!$I13,tipp!$J13*pontozas!$B$1)+if(left(tipp!S13,find(":",tipp!S13)-1)-right(tipp!S13,(len(tipp!S13)-find(":",tipp!S13)))=tipp!$G13-tipp!$H13,pontozas!$B$2,0)+if(tipp!S13=tipp!$F13,pontozas!$B$3),""),"")</f>
        <v/>
      </c>
      <c r="K14" t="str">
        <f>if(K$1&lt;&gt;"",iferror(if(if(left(tipp!T13,find(":",tipp!T13)-1)&gt;right(tipp!T13,(len(tipp!T13)-find(":",tipp!T13))),1,if(right(tipp!T13,(len(tipp!T13)-find(":",tipp!T13)))&gt;left(tipp!T13,find(":",tipp!T13)-1),2,"x"))=tipp!$I13,tipp!$J13*pontozas!$B$1)+if(left(tipp!T13,find(":",tipp!T13)-1)-right(tipp!T13,(len(tipp!T13)-find(":",tipp!T13)))=tipp!$G13-tipp!$H13,pontozas!$B$2,0)+if(tipp!T13=tipp!$F13,pontozas!$B$3),""),"")</f>
        <v/>
      </c>
      <c r="L14" t="str">
        <f>if(L$1&lt;&gt;"",iferror(if(if(left(tipp!U13,find(":",tipp!U13)-1)&gt;right(tipp!U13,(len(tipp!U13)-find(":",tipp!U13))),1,if(right(tipp!U13,(len(tipp!U13)-find(":",tipp!U13)))&gt;left(tipp!U13,find(":",tipp!U13)-1),2,"x"))=tipp!$I13,tipp!$J13*pontozas!$B$1)+if(left(tipp!U13,find(":",tipp!U13)-1)-right(tipp!U13,(len(tipp!U13)-find(":",tipp!U13)))=tipp!$G13-tipp!$H13,pontozas!$B$2,0)+if(tipp!U13=tipp!$F13,pontozas!$B$3),""),"")</f>
        <v/>
      </c>
      <c r="M14" t="str">
        <f>if(M$1&lt;&gt;"",iferror(if(if(left(tipp!V13,find(":",tipp!V13)-1)&gt;right(tipp!V13,(len(tipp!V13)-find(":",tipp!V13))),1,if(right(tipp!V13,(len(tipp!V13)-find(":",tipp!V13)))&gt;left(tipp!V13,find(":",tipp!V13)-1),2,"x"))=tipp!$I13,tipp!$J13*pontozas!$B$1)+if(left(tipp!V13,find(":",tipp!V13)-1)-right(tipp!V13,(len(tipp!V13)-find(":",tipp!V13)))=tipp!$G13-tipp!$H13,pontozas!$B$2,0)+if(tipp!V13=tipp!$F13,pontozas!$B$3),""),"")</f>
        <v/>
      </c>
      <c r="N14" t="str">
        <f>if(N$1&lt;&gt;"",iferror(if(if(left(tipp!W13,find(":",tipp!W13)-1)&gt;right(tipp!W13,(len(tipp!W13)-find(":",tipp!W13))),1,if(right(tipp!W13,(len(tipp!W13)-find(":",tipp!W13)))&gt;left(tipp!W13,find(":",tipp!W13)-1),2,"x"))=tipp!$I13,tipp!$J13*pontozas!$B$1)+if(left(tipp!W13,find(":",tipp!W13)-1)-right(tipp!W13,(len(tipp!W13)-find(":",tipp!W13)))=tipp!$G13-tipp!$H13,pontozas!$B$2,0)+if(tipp!W13=tipp!$F13,pontozas!$B$3),""),"")</f>
        <v/>
      </c>
      <c r="O14" t="str">
        <f>if(O$1&lt;&gt;"",iferror(if(if(left(tipp!X13,find(":",tipp!X13)-1)&gt;right(tipp!X13,(len(tipp!X13)-find(":",tipp!X13))),1,if(right(tipp!X13,(len(tipp!X13)-find(":",tipp!X13)))&gt;left(tipp!X13,find(":",tipp!X13)-1),2,"x"))=tipp!$I13,tipp!$J13*pontozas!$B$1)+if(left(tipp!X13,find(":",tipp!X13)-1)-right(tipp!X13,(len(tipp!X13)-find(":",tipp!X13)))=tipp!$G13-tipp!$H13,pontozas!$B$2,0)+if(tipp!X13=tipp!$F13,pontozas!$B$3),""),"")</f>
        <v/>
      </c>
    </row>
    <row r="15">
      <c r="A15" t="str">
        <f>CONCATENATE(tipp!A14&amp;" : "&amp;tipp!B14)</f>
        <v>Denmark : United States</v>
      </c>
      <c r="B15">
        <f>if(B$1&lt;&gt;"",iferror(if(if(left(tipp!K14,find(":",tipp!K14)-1)&gt;right(tipp!K14,(len(tipp!K14)-find(":",tipp!K14))),1,if(right(tipp!K14,(len(tipp!K14)-find(":",tipp!K14)))&gt;left(tipp!K14,find(":",tipp!K14)-1),2,"x"))=tipp!$I14,tipp!$J14*pontozas!$B$1)+if(left(tipp!K14,find(":",tipp!K14)-1)-right(tipp!K14,(len(tipp!K14)-find(":",tipp!K14)))=tipp!$G14-tipp!$H14,pontozas!$B$2,0)+if(tipp!K14=tipp!$F14,pontozas!$B$3),""),"")</f>
        <v>1.28</v>
      </c>
      <c r="C15">
        <f>if(C$1&lt;&gt;"",iferror(if(if(left(tipp!L14,find(":",tipp!L14)-1)&gt;right(tipp!L14,(len(tipp!L14)-find(":",tipp!L14))),1,if(right(tipp!L14,(len(tipp!L14)-find(":",tipp!L14)))&gt;left(tipp!L14,find(":",tipp!L14)-1),2,"x"))=tipp!$I14,tipp!$J14*pontozas!$B$1)+if(left(tipp!L14,find(":",tipp!L14)-1)-right(tipp!L14,(len(tipp!L14)-find(":",tipp!L14)))=tipp!$G14-tipp!$H14,pontozas!$B$2,0)+if(tipp!L14=tipp!$F14,pontozas!$B$3),""),"")</f>
        <v>1.28</v>
      </c>
      <c r="D15">
        <f>if(D$1&lt;&gt;"",iferror(if(if(left(tipp!M14,find(":",tipp!M14)-1)&gt;right(tipp!M14,(len(tipp!M14)-find(":",tipp!M14))),1,if(right(tipp!M14,(len(tipp!M14)-find(":",tipp!M14)))&gt;left(tipp!M14,find(":",tipp!M14)-1),2,"x"))=tipp!$I14,tipp!$J14*pontozas!$B$1)+if(left(tipp!M14,find(":",tipp!M14)-1)-right(tipp!M14,(len(tipp!M14)-find(":",tipp!M14)))=tipp!$G14-tipp!$H14,pontozas!$B$2,0)+if(tipp!M14=tipp!$F14,pontozas!$B$3),""),"")</f>
        <v>1.28</v>
      </c>
      <c r="E15">
        <f>if(E$1&lt;&gt;"",iferror(if(if(left(tipp!N14,find(":",tipp!N14)-1)&gt;right(tipp!N14,(len(tipp!N14)-find(":",tipp!N14))),1,if(right(tipp!N14,(len(tipp!N14)-find(":",tipp!N14)))&gt;left(tipp!N14,find(":",tipp!N14)-1),2,"x"))=tipp!$I14,tipp!$J14*pontozas!$B$1)+if(left(tipp!N14,find(":",tipp!N14)-1)-right(tipp!N14,(len(tipp!N14)-find(":",tipp!N14)))=tipp!$G14-tipp!$H14,pontozas!$B$2,0)+if(tipp!N14=tipp!$F14,pontozas!$B$3),""),"")</f>
        <v>1.28</v>
      </c>
      <c r="F15">
        <f>if(F$1&lt;&gt;"",iferror(if(if(left(tipp!O14,find(":",tipp!O14)-1)&gt;right(tipp!O14,(len(tipp!O14)-find(":",tipp!O14))),1,if(right(tipp!O14,(len(tipp!O14)-find(":",tipp!O14)))&gt;left(tipp!O14,find(":",tipp!O14)-1),2,"x"))=tipp!$I14,tipp!$J14*pontozas!$B$1)+if(left(tipp!O14,find(":",tipp!O14)-1)-right(tipp!O14,(len(tipp!O14)-find(":",tipp!O14)))=tipp!$G14-tipp!$H14,pontozas!$B$2,0)+if(tipp!O14=tipp!$F14,pontozas!$B$3),""),"")</f>
        <v>1.28</v>
      </c>
      <c r="G15" t="str">
        <f>if(G$1&lt;&gt;"",iferror(if(if(left(tipp!P14,find(":",tipp!P14)-1)&gt;right(tipp!P14,(len(tipp!P14)-find(":",tipp!P14))),1,if(right(tipp!P14,(len(tipp!P14)-find(":",tipp!P14)))&gt;left(tipp!P14,find(":",tipp!P14)-1),2,"x"))=tipp!$I14,tipp!$J14*pontozas!$B$1)+if(left(tipp!P14,find(":",tipp!P14)-1)-right(tipp!P14,(len(tipp!P14)-find(":",tipp!P14)))=tipp!$G14-tipp!$H14,pontozas!$B$2,0)+if(tipp!P14=tipp!$F14,pontozas!$B$3),""),"")</f>
        <v/>
      </c>
      <c r="H15">
        <f>if(H$1&lt;&gt;"",iferror(if(if(left(tipp!Q14,find(":",tipp!Q14)-1)&gt;right(tipp!Q14,(len(tipp!Q14)-find(":",tipp!Q14))),1,if(right(tipp!Q14,(len(tipp!Q14)-find(":",tipp!Q14)))&gt;left(tipp!Q14,find(":",tipp!Q14)-1),2,"x"))=tipp!$I14,tipp!$J14*pontozas!$B$1)+if(left(tipp!Q14,find(":",tipp!Q14)-1)-right(tipp!Q14,(len(tipp!Q14)-find(":",tipp!Q14)))=tipp!$G14-tipp!$H14,pontozas!$B$2,0)+if(tipp!Q14=tipp!$F14,pontozas!$B$3),""),"")</f>
        <v>1.28</v>
      </c>
      <c r="I15">
        <f>if(I$1&lt;&gt;"",iferror(if(if(left(tipp!R14,find(":",tipp!R14)-1)&gt;right(tipp!R14,(len(tipp!R14)-find(":",tipp!R14))),1,if(right(tipp!R14,(len(tipp!R14)-find(":",tipp!R14)))&gt;left(tipp!R14,find(":",tipp!R14)-1),2,"x"))=tipp!$I14,tipp!$J14*pontozas!$B$1)+if(left(tipp!R14,find(":",tipp!R14)-1)-right(tipp!R14,(len(tipp!R14)-find(":",tipp!R14)))=tipp!$G14-tipp!$H14,pontozas!$B$2,0)+if(tipp!R14=tipp!$F14,pontozas!$B$3),""),"")</f>
        <v>1.28</v>
      </c>
      <c r="J15" t="str">
        <f>if(J$1&lt;&gt;"",iferror(if(if(left(tipp!S14,find(":",tipp!S14)-1)&gt;right(tipp!S14,(len(tipp!S14)-find(":",tipp!S14))),1,if(right(tipp!S14,(len(tipp!S14)-find(":",tipp!S14)))&gt;left(tipp!S14,find(":",tipp!S14)-1),2,"x"))=tipp!$I14,tipp!$J14*pontozas!$B$1)+if(left(tipp!S14,find(":",tipp!S14)-1)-right(tipp!S14,(len(tipp!S14)-find(":",tipp!S14)))=tipp!$G14-tipp!$H14,pontozas!$B$2,0)+if(tipp!S14=tipp!$F14,pontozas!$B$3),""),"")</f>
        <v/>
      </c>
      <c r="K15" t="str">
        <f>if(K$1&lt;&gt;"",iferror(if(if(left(tipp!T14,find(":",tipp!T14)-1)&gt;right(tipp!T14,(len(tipp!T14)-find(":",tipp!T14))),1,if(right(tipp!T14,(len(tipp!T14)-find(":",tipp!T14)))&gt;left(tipp!T14,find(":",tipp!T14)-1),2,"x"))=tipp!$I14,tipp!$J14*pontozas!$B$1)+if(left(tipp!T14,find(":",tipp!T14)-1)-right(tipp!T14,(len(tipp!T14)-find(":",tipp!T14)))=tipp!$G14-tipp!$H14,pontozas!$B$2,0)+if(tipp!T14=tipp!$F14,pontozas!$B$3),""),"")</f>
        <v/>
      </c>
      <c r="L15" t="str">
        <f>if(L$1&lt;&gt;"",iferror(if(if(left(tipp!U14,find(":",tipp!U14)-1)&gt;right(tipp!U14,(len(tipp!U14)-find(":",tipp!U14))),1,if(right(tipp!U14,(len(tipp!U14)-find(":",tipp!U14)))&gt;left(tipp!U14,find(":",tipp!U14)-1),2,"x"))=tipp!$I14,tipp!$J14*pontozas!$B$1)+if(left(tipp!U14,find(":",tipp!U14)-1)-right(tipp!U14,(len(tipp!U14)-find(":",tipp!U14)))=tipp!$G14-tipp!$H14,pontozas!$B$2,0)+if(tipp!U14=tipp!$F14,pontozas!$B$3),""),"")</f>
        <v/>
      </c>
      <c r="M15" t="str">
        <f>if(M$1&lt;&gt;"",iferror(if(if(left(tipp!V14,find(":",tipp!V14)-1)&gt;right(tipp!V14,(len(tipp!V14)-find(":",tipp!V14))),1,if(right(tipp!V14,(len(tipp!V14)-find(":",tipp!V14)))&gt;left(tipp!V14,find(":",tipp!V14)-1),2,"x"))=tipp!$I14,tipp!$J14*pontozas!$B$1)+if(left(tipp!V14,find(":",tipp!V14)-1)-right(tipp!V14,(len(tipp!V14)-find(":",tipp!V14)))=tipp!$G14-tipp!$H14,pontozas!$B$2,0)+if(tipp!V14=tipp!$F14,pontozas!$B$3),""),"")</f>
        <v/>
      </c>
      <c r="N15" t="str">
        <f>if(N$1&lt;&gt;"",iferror(if(if(left(tipp!W14,find(":",tipp!W14)-1)&gt;right(tipp!W14,(len(tipp!W14)-find(":",tipp!W14))),1,if(right(tipp!W14,(len(tipp!W14)-find(":",tipp!W14)))&gt;left(tipp!W14,find(":",tipp!W14)-1),2,"x"))=tipp!$I14,tipp!$J14*pontozas!$B$1)+if(left(tipp!W14,find(":",tipp!W14)-1)-right(tipp!W14,(len(tipp!W14)-find(":",tipp!W14)))=tipp!$G14-tipp!$H14,pontozas!$B$2,0)+if(tipp!W14=tipp!$F14,pontozas!$B$3),""),"")</f>
        <v/>
      </c>
      <c r="O15" t="str">
        <f>if(O$1&lt;&gt;"",iferror(if(if(left(tipp!X14,find(":",tipp!X14)-1)&gt;right(tipp!X14,(len(tipp!X14)-find(":",tipp!X14))),1,if(right(tipp!X14,(len(tipp!X14)-find(":",tipp!X14)))&gt;left(tipp!X14,find(":",tipp!X14)-1),2,"x"))=tipp!$I14,tipp!$J14*pontozas!$B$1)+if(left(tipp!X14,find(":",tipp!X14)-1)-right(tipp!X14,(len(tipp!X14)-find(":",tipp!X14)))=tipp!$G14-tipp!$H14,pontozas!$B$2,0)+if(tipp!X14=tipp!$F14,pontozas!$B$3),""),"")</f>
        <v/>
      </c>
    </row>
    <row r="16">
      <c r="A16" t="str">
        <f>CONCATENATE(tipp!A15&amp;" : "&amp;tipp!B15)</f>
        <v>Austria : Russia</v>
      </c>
      <c r="B16">
        <f>if(B$1&lt;&gt;"",iferror(if(if(left(tipp!K15,find(":",tipp!K15)-1)&gt;right(tipp!K15,(len(tipp!K15)-find(":",tipp!K15))),1,if(right(tipp!K15,(len(tipp!K15)-find(":",tipp!K15)))&gt;left(tipp!K15,find(":",tipp!K15)-1),2,"x"))=tipp!$I15,tipp!$J15*pontozas!$B$1)+if(left(tipp!K15,find(":",tipp!K15)-1)-right(tipp!K15,(len(tipp!K15)-find(":",tipp!K15)))=tipp!$G15-tipp!$H15,pontozas!$B$2,0)+if(tipp!K15=tipp!$F15,pontozas!$B$3),""),"")</f>
        <v>1.05</v>
      </c>
      <c r="C16">
        <f>if(C$1&lt;&gt;"",iferror(if(if(left(tipp!L15,find(":",tipp!L15)-1)&gt;right(tipp!L15,(len(tipp!L15)-find(":",tipp!L15))),1,if(right(tipp!L15,(len(tipp!L15)-find(":",tipp!L15)))&gt;left(tipp!L15,find(":",tipp!L15)-1),2,"x"))=tipp!$I15,tipp!$J15*pontozas!$B$1)+if(left(tipp!L15,find(":",tipp!L15)-1)-right(tipp!L15,(len(tipp!L15)-find(":",tipp!L15)))=tipp!$G15-tipp!$H15,pontozas!$B$2,0)+if(tipp!L15=tipp!$F15,pontozas!$B$3),""),"")</f>
        <v>1.05</v>
      </c>
      <c r="D16">
        <f>if(D$1&lt;&gt;"",iferror(if(if(left(tipp!M15,find(":",tipp!M15)-1)&gt;right(tipp!M15,(len(tipp!M15)-find(":",tipp!M15))),1,if(right(tipp!M15,(len(tipp!M15)-find(":",tipp!M15)))&gt;left(tipp!M15,find(":",tipp!M15)-1),2,"x"))=tipp!$I15,tipp!$J15*pontozas!$B$1)+if(left(tipp!M15,find(":",tipp!M15)-1)-right(tipp!M15,(len(tipp!M15)-find(":",tipp!M15)))=tipp!$G15-tipp!$H15,pontozas!$B$2,0)+if(tipp!M15=tipp!$F15,pontozas!$B$3),""),"")</f>
        <v>1.05</v>
      </c>
      <c r="E16">
        <f>if(E$1&lt;&gt;"",iferror(if(if(left(tipp!N15,find(":",tipp!N15)-1)&gt;right(tipp!N15,(len(tipp!N15)-find(":",tipp!N15))),1,if(right(tipp!N15,(len(tipp!N15)-find(":",tipp!N15)))&gt;left(tipp!N15,find(":",tipp!N15)-1),2,"x"))=tipp!$I15,tipp!$J15*pontozas!$B$1)+if(left(tipp!N15,find(":",tipp!N15)-1)-right(tipp!N15,(len(tipp!N15)-find(":",tipp!N15)))=tipp!$G15-tipp!$H15,pontozas!$B$2,0)+if(tipp!N15=tipp!$F15,pontozas!$B$3),""),"")</f>
        <v>1.05</v>
      </c>
      <c r="F16">
        <f>if(F$1&lt;&gt;"",iferror(if(if(left(tipp!O15,find(":",tipp!O15)-1)&gt;right(tipp!O15,(len(tipp!O15)-find(":",tipp!O15))),1,if(right(tipp!O15,(len(tipp!O15)-find(":",tipp!O15)))&gt;left(tipp!O15,find(":",tipp!O15)-1),2,"x"))=tipp!$I15,tipp!$J15*pontozas!$B$1)+if(left(tipp!O15,find(":",tipp!O15)-1)-right(tipp!O15,(len(tipp!O15)-find(":",tipp!O15)))=tipp!$G15-tipp!$H15,pontozas!$B$2,0)+if(tipp!O15=tipp!$F15,pontozas!$B$3),""),"")</f>
        <v>1.05</v>
      </c>
      <c r="G16" t="str">
        <f>if(G$1&lt;&gt;"",iferror(if(if(left(tipp!P15,find(":",tipp!P15)-1)&gt;right(tipp!P15,(len(tipp!P15)-find(":",tipp!P15))),1,if(right(tipp!P15,(len(tipp!P15)-find(":",tipp!P15)))&gt;left(tipp!P15,find(":",tipp!P15)-1),2,"x"))=tipp!$I15,tipp!$J15*pontozas!$B$1)+if(left(tipp!P15,find(":",tipp!P15)-1)-right(tipp!P15,(len(tipp!P15)-find(":",tipp!P15)))=tipp!$G15-tipp!$H15,pontozas!$B$2,0)+if(tipp!P15=tipp!$F15,pontozas!$B$3),""),"")</f>
        <v/>
      </c>
      <c r="H16">
        <f>if(H$1&lt;&gt;"",iferror(if(if(left(tipp!Q15,find(":",tipp!Q15)-1)&gt;right(tipp!Q15,(len(tipp!Q15)-find(":",tipp!Q15))),1,if(right(tipp!Q15,(len(tipp!Q15)-find(":",tipp!Q15)))&gt;left(tipp!Q15,find(":",tipp!Q15)-1),2,"x"))=tipp!$I15,tipp!$J15*pontozas!$B$1)+if(left(tipp!Q15,find(":",tipp!Q15)-1)-right(tipp!Q15,(len(tipp!Q15)-find(":",tipp!Q15)))=tipp!$G15-tipp!$H15,pontozas!$B$2,0)+if(tipp!Q15=tipp!$F15,pontozas!$B$3),""),"")</f>
        <v>1.05</v>
      </c>
      <c r="I16">
        <f>if(I$1&lt;&gt;"",iferror(if(if(left(tipp!R15,find(":",tipp!R15)-1)&gt;right(tipp!R15,(len(tipp!R15)-find(":",tipp!R15))),1,if(right(tipp!R15,(len(tipp!R15)-find(":",tipp!R15)))&gt;left(tipp!R15,find(":",tipp!R15)-1),2,"x"))=tipp!$I15,tipp!$J15*pontozas!$B$1)+if(left(tipp!R15,find(":",tipp!R15)-1)-right(tipp!R15,(len(tipp!R15)-find(":",tipp!R15)))=tipp!$G15-tipp!$H15,pontozas!$B$2,0)+if(tipp!R15=tipp!$F15,pontozas!$B$3),""),"")</f>
        <v>1.05</v>
      </c>
      <c r="J16" t="str">
        <f>if(J$1&lt;&gt;"",iferror(if(if(left(tipp!S15,find(":",tipp!S15)-1)&gt;right(tipp!S15,(len(tipp!S15)-find(":",tipp!S15))),1,if(right(tipp!S15,(len(tipp!S15)-find(":",tipp!S15)))&gt;left(tipp!S15,find(":",tipp!S15)-1),2,"x"))=tipp!$I15,tipp!$J15*pontozas!$B$1)+if(left(tipp!S15,find(":",tipp!S15)-1)-right(tipp!S15,(len(tipp!S15)-find(":",tipp!S15)))=tipp!$G15-tipp!$H15,pontozas!$B$2,0)+if(tipp!S15=tipp!$F15,pontozas!$B$3),""),"")</f>
        <v/>
      </c>
      <c r="K16" t="str">
        <f>if(K$1&lt;&gt;"",iferror(if(if(left(tipp!T15,find(":",tipp!T15)-1)&gt;right(tipp!T15,(len(tipp!T15)-find(":",tipp!T15))),1,if(right(tipp!T15,(len(tipp!T15)-find(":",tipp!T15)))&gt;left(tipp!T15,find(":",tipp!T15)-1),2,"x"))=tipp!$I15,tipp!$J15*pontozas!$B$1)+if(left(tipp!T15,find(":",tipp!T15)-1)-right(tipp!T15,(len(tipp!T15)-find(":",tipp!T15)))=tipp!$G15-tipp!$H15,pontozas!$B$2,0)+if(tipp!T15=tipp!$F15,pontozas!$B$3),""),"")</f>
        <v/>
      </c>
      <c r="L16" t="str">
        <f>if(L$1&lt;&gt;"",iferror(if(if(left(tipp!U15,find(":",tipp!U15)-1)&gt;right(tipp!U15,(len(tipp!U15)-find(":",tipp!U15))),1,if(right(tipp!U15,(len(tipp!U15)-find(":",tipp!U15)))&gt;left(tipp!U15,find(":",tipp!U15)-1),2,"x"))=tipp!$I15,tipp!$J15*pontozas!$B$1)+if(left(tipp!U15,find(":",tipp!U15)-1)-right(tipp!U15,(len(tipp!U15)-find(":",tipp!U15)))=tipp!$G15-tipp!$H15,pontozas!$B$2,0)+if(tipp!U15=tipp!$F15,pontozas!$B$3),""),"")</f>
        <v/>
      </c>
      <c r="M16" t="str">
        <f>if(M$1&lt;&gt;"",iferror(if(if(left(tipp!V15,find(":",tipp!V15)-1)&gt;right(tipp!V15,(len(tipp!V15)-find(":",tipp!V15))),1,if(right(tipp!V15,(len(tipp!V15)-find(":",tipp!V15)))&gt;left(tipp!V15,find(":",tipp!V15)-1),2,"x"))=tipp!$I15,tipp!$J15*pontozas!$B$1)+if(left(tipp!V15,find(":",tipp!V15)-1)-right(tipp!V15,(len(tipp!V15)-find(":",tipp!V15)))=tipp!$G15-tipp!$H15,pontozas!$B$2,0)+if(tipp!V15=tipp!$F15,pontozas!$B$3),""),"")</f>
        <v/>
      </c>
      <c r="N16" t="str">
        <f>if(N$1&lt;&gt;"",iferror(if(if(left(tipp!W15,find(":",tipp!W15)-1)&gt;right(tipp!W15,(len(tipp!W15)-find(":",tipp!W15))),1,if(right(tipp!W15,(len(tipp!W15)-find(":",tipp!W15)))&gt;left(tipp!W15,find(":",tipp!W15)-1),2,"x"))=tipp!$I15,tipp!$J15*pontozas!$B$1)+if(left(tipp!W15,find(":",tipp!W15)-1)-right(tipp!W15,(len(tipp!W15)-find(":",tipp!W15)))=tipp!$G15-tipp!$H15,pontozas!$B$2,0)+if(tipp!W15=tipp!$F15,pontozas!$B$3),""),"")</f>
        <v/>
      </c>
      <c r="O16" t="str">
        <f>if(O$1&lt;&gt;"",iferror(if(if(left(tipp!X15,find(":",tipp!X15)-1)&gt;right(tipp!X15,(len(tipp!X15)-find(":",tipp!X15))),1,if(right(tipp!X15,(len(tipp!X15)-find(":",tipp!X15)))&gt;left(tipp!X15,find(":",tipp!X15)-1),2,"x"))=tipp!$I15,tipp!$J15*pontozas!$B$1)+if(left(tipp!X15,find(":",tipp!X15)-1)-right(tipp!X15,(len(tipp!X15)-find(":",tipp!X15)))=tipp!$G15-tipp!$H15,pontozas!$B$2,0)+if(tipp!X15=tipp!$F15,pontozas!$B$3),""),"")</f>
        <v/>
      </c>
    </row>
    <row r="17">
      <c r="A17" t="str">
        <f>CONCATENATE(tipp!A16&amp;" : "&amp;tipp!B16)</f>
        <v>Sweden : Czech Republic</v>
      </c>
      <c r="B17">
        <f>if(B$1&lt;&gt;"",iferror(if(if(left(tipp!K16,find(":",tipp!K16)-1)&gt;right(tipp!K16,(len(tipp!K16)-find(":",tipp!K16))),1,if(right(tipp!K16,(len(tipp!K16)-find(":",tipp!K16)))&gt;left(tipp!K16,find(":",tipp!K16)-1),2,"x"))=tipp!$I16,tipp!$J16*pontozas!$B$1)+if(left(tipp!K16,find(":",tipp!K16)-1)-right(tipp!K16,(len(tipp!K16)-find(":",tipp!K16)))=tipp!$G16-tipp!$H16,pontozas!$B$2,0)+if(tipp!K16=tipp!$F16,pontozas!$B$3),""),"")</f>
        <v>2.15</v>
      </c>
      <c r="C17">
        <f>if(C$1&lt;&gt;"",iferror(if(if(left(tipp!L16,find(":",tipp!L16)-1)&gt;right(tipp!L16,(len(tipp!L16)-find(":",tipp!L16))),1,if(right(tipp!L16,(len(tipp!L16)-find(":",tipp!L16)))&gt;left(tipp!L16,find(":",tipp!L16)-1),2,"x"))=tipp!$I16,tipp!$J16*pontozas!$B$1)+if(left(tipp!L16,find(":",tipp!L16)-1)-right(tipp!L16,(len(tipp!L16)-find(":",tipp!L16)))=tipp!$G16-tipp!$H16,pontozas!$B$2,0)+if(tipp!L16=tipp!$F16,pontozas!$B$3),""),"")</f>
        <v>0</v>
      </c>
      <c r="D17">
        <f>if(D$1&lt;&gt;"",iferror(if(if(left(tipp!M16,find(":",tipp!M16)-1)&gt;right(tipp!M16,(len(tipp!M16)-find(":",tipp!M16))),1,if(right(tipp!M16,(len(tipp!M16)-find(":",tipp!M16)))&gt;left(tipp!M16,find(":",tipp!M16)-1),2,"x"))=tipp!$I16,tipp!$J16*pontozas!$B$1)+if(left(tipp!M16,find(":",tipp!M16)-1)-right(tipp!M16,(len(tipp!M16)-find(":",tipp!M16)))=tipp!$G16-tipp!$H16,pontozas!$B$2,0)+if(tipp!M16=tipp!$F16,pontozas!$B$3),""),"")</f>
        <v>2.15</v>
      </c>
      <c r="E17" t="str">
        <f>if(E$1&lt;&gt;"",iferror(if(if(left(tipp!N16,find(":",tipp!N16)-1)&gt;right(tipp!N16,(len(tipp!N16)-find(":",tipp!N16))),1,if(right(tipp!N16,(len(tipp!N16)-find(":",tipp!N16)))&gt;left(tipp!N16,find(":",tipp!N16)-1),2,"x"))=tipp!$I16,tipp!$J16*pontozas!$B$1)+if(left(tipp!N16,find(":",tipp!N16)-1)-right(tipp!N16,(len(tipp!N16)-find(":",tipp!N16)))=tipp!$G16-tipp!$H16,pontozas!$B$2,0)+if(tipp!N16=tipp!$F16,pontozas!$B$3),""),"")</f>
        <v/>
      </c>
      <c r="F17">
        <f>if(F$1&lt;&gt;"",iferror(if(if(left(tipp!O16,find(":",tipp!O16)-1)&gt;right(tipp!O16,(len(tipp!O16)-find(":",tipp!O16))),1,if(right(tipp!O16,(len(tipp!O16)-find(":",tipp!O16)))&gt;left(tipp!O16,find(":",tipp!O16)-1),2,"x"))=tipp!$I16,tipp!$J16*pontozas!$B$1)+if(left(tipp!O16,find(":",tipp!O16)-1)-right(tipp!O16,(len(tipp!O16)-find(":",tipp!O16)))=tipp!$G16-tipp!$H16,pontozas!$B$2,0)+if(tipp!O16=tipp!$F16,pontozas!$B$3),""),"")</f>
        <v>2.15</v>
      </c>
      <c r="G17" t="str">
        <f>if(G$1&lt;&gt;"",iferror(if(if(left(tipp!P16,find(":",tipp!P16)-1)&gt;right(tipp!P16,(len(tipp!P16)-find(":",tipp!P16))),1,if(right(tipp!P16,(len(tipp!P16)-find(":",tipp!P16)))&gt;left(tipp!P16,find(":",tipp!P16)-1),2,"x"))=tipp!$I16,tipp!$J16*pontozas!$B$1)+if(left(tipp!P16,find(":",tipp!P16)-1)-right(tipp!P16,(len(tipp!P16)-find(":",tipp!P16)))=tipp!$G16-tipp!$H16,pontozas!$B$2,0)+if(tipp!P16=tipp!$F16,pontozas!$B$3),""),"")</f>
        <v/>
      </c>
      <c r="H17" t="str">
        <f>if(H$1&lt;&gt;"",iferror(if(if(left(tipp!Q16,find(":",tipp!Q16)-1)&gt;right(tipp!Q16,(len(tipp!Q16)-find(":",tipp!Q16))),1,if(right(tipp!Q16,(len(tipp!Q16)-find(":",tipp!Q16)))&gt;left(tipp!Q16,find(":",tipp!Q16)-1),2,"x"))=tipp!$I16,tipp!$J16*pontozas!$B$1)+if(left(tipp!Q16,find(":",tipp!Q16)-1)-right(tipp!Q16,(len(tipp!Q16)-find(":",tipp!Q16)))=tipp!$G16-tipp!$H16,pontozas!$B$2,0)+if(tipp!Q16=tipp!$F16,pontozas!$B$3),""),"")</f>
        <v/>
      </c>
      <c r="I17" t="str">
        <f>if(I$1&lt;&gt;"",iferror(if(if(left(tipp!R16,find(":",tipp!R16)-1)&gt;right(tipp!R16,(len(tipp!R16)-find(":",tipp!R16))),1,if(right(tipp!R16,(len(tipp!R16)-find(":",tipp!R16)))&gt;left(tipp!R16,find(":",tipp!R16)-1),2,"x"))=tipp!$I16,tipp!$J16*pontozas!$B$1)+if(left(tipp!R16,find(":",tipp!R16)-1)-right(tipp!R16,(len(tipp!R16)-find(":",tipp!R16)))=tipp!$G16-tipp!$H16,pontozas!$B$2,0)+if(tipp!R16=tipp!$F16,pontozas!$B$3),""),"")</f>
        <v/>
      </c>
      <c r="J17" t="str">
        <f>if(J$1&lt;&gt;"",iferror(if(if(left(tipp!S16,find(":",tipp!S16)-1)&gt;right(tipp!S16,(len(tipp!S16)-find(":",tipp!S16))),1,if(right(tipp!S16,(len(tipp!S16)-find(":",tipp!S16)))&gt;left(tipp!S16,find(":",tipp!S16)-1),2,"x"))=tipp!$I16,tipp!$J16*pontozas!$B$1)+if(left(tipp!S16,find(":",tipp!S16)-1)-right(tipp!S16,(len(tipp!S16)-find(":",tipp!S16)))=tipp!$G16-tipp!$H16,pontozas!$B$2,0)+if(tipp!S16=tipp!$F16,pontozas!$B$3),""),"")</f>
        <v/>
      </c>
      <c r="K17" t="str">
        <f>if(K$1&lt;&gt;"",iferror(if(if(left(tipp!T16,find(":",tipp!T16)-1)&gt;right(tipp!T16,(len(tipp!T16)-find(":",tipp!T16))),1,if(right(tipp!T16,(len(tipp!T16)-find(":",tipp!T16)))&gt;left(tipp!T16,find(":",tipp!T16)-1),2,"x"))=tipp!$I16,tipp!$J16*pontozas!$B$1)+if(left(tipp!T16,find(":",tipp!T16)-1)-right(tipp!T16,(len(tipp!T16)-find(":",tipp!T16)))=tipp!$G16-tipp!$H16,pontozas!$B$2,0)+if(tipp!T16=tipp!$F16,pontozas!$B$3),""),"")</f>
        <v/>
      </c>
      <c r="L17" t="str">
        <f>if(L$1&lt;&gt;"",iferror(if(if(left(tipp!U16,find(":",tipp!U16)-1)&gt;right(tipp!U16,(len(tipp!U16)-find(":",tipp!U16))),1,if(right(tipp!U16,(len(tipp!U16)-find(":",tipp!U16)))&gt;left(tipp!U16,find(":",tipp!U16)-1),2,"x"))=tipp!$I16,tipp!$J16*pontozas!$B$1)+if(left(tipp!U16,find(":",tipp!U16)-1)-right(tipp!U16,(len(tipp!U16)-find(":",tipp!U16)))=tipp!$G16-tipp!$H16,pontozas!$B$2,0)+if(tipp!U16=tipp!$F16,pontozas!$B$3),""),"")</f>
        <v/>
      </c>
      <c r="M17" t="str">
        <f>if(M$1&lt;&gt;"",iferror(if(if(left(tipp!V16,find(":",tipp!V16)-1)&gt;right(tipp!V16,(len(tipp!V16)-find(":",tipp!V16))),1,if(right(tipp!V16,(len(tipp!V16)-find(":",tipp!V16)))&gt;left(tipp!V16,find(":",tipp!V16)-1),2,"x"))=tipp!$I16,tipp!$J16*pontozas!$B$1)+if(left(tipp!V16,find(":",tipp!V16)-1)-right(tipp!V16,(len(tipp!V16)-find(":",tipp!V16)))=tipp!$G16-tipp!$H16,pontozas!$B$2,0)+if(tipp!V16=tipp!$F16,pontozas!$B$3),""),"")</f>
        <v/>
      </c>
      <c r="N17" t="str">
        <f>if(N$1&lt;&gt;"",iferror(if(if(left(tipp!W16,find(":",tipp!W16)-1)&gt;right(tipp!W16,(len(tipp!W16)-find(":",tipp!W16))),1,if(right(tipp!W16,(len(tipp!W16)-find(":",tipp!W16)))&gt;left(tipp!W16,find(":",tipp!W16)-1),2,"x"))=tipp!$I16,tipp!$J16*pontozas!$B$1)+if(left(tipp!W16,find(":",tipp!W16)-1)-right(tipp!W16,(len(tipp!W16)-find(":",tipp!W16)))=tipp!$G16-tipp!$H16,pontozas!$B$2,0)+if(tipp!W16=tipp!$F16,pontozas!$B$3),""),"")</f>
        <v/>
      </c>
      <c r="O17" t="str">
        <f>if(O$1&lt;&gt;"",iferror(if(if(left(tipp!X16,find(":",tipp!X16)-1)&gt;right(tipp!X16,(len(tipp!X16)-find(":",tipp!X16))),1,if(right(tipp!X16,(len(tipp!X16)-find(":",tipp!X16)))&gt;left(tipp!X16,find(":",tipp!X16)-1),2,"x"))=tipp!$I16,tipp!$J16*pontozas!$B$1)+if(left(tipp!X16,find(":",tipp!X16)-1)-right(tipp!X16,(len(tipp!X16)-find(":",tipp!X16)))=tipp!$G16-tipp!$H16,pontozas!$B$2,0)+if(tipp!X16=tipp!$F16,pontozas!$B$3),""),"")</f>
        <v/>
      </c>
    </row>
    <row r="18">
      <c r="A18" t="str">
        <f>CONCATENATE(tipp!A17&amp;" : "&amp;tipp!B17)</f>
        <v>Slovakia : Switzerland</v>
      </c>
      <c r="B18">
        <f>if(B$1&lt;&gt;"",iferror(if(if(left(tipp!K17,find(":",tipp!K17)-1)&gt;right(tipp!K17,(len(tipp!K17)-find(":",tipp!K17))),1,if(right(tipp!K17,(len(tipp!K17)-find(":",tipp!K17)))&gt;left(tipp!K17,find(":",tipp!K17)-1),2,"x"))=tipp!$I17,tipp!$J17*pontozas!$B$1)+if(left(tipp!K17,find(":",tipp!K17)-1)-right(tipp!K17,(len(tipp!K17)-find(":",tipp!K17)))=tipp!$G17-tipp!$H17,pontozas!$B$2,0)+if(tipp!K17=tipp!$F17,pontozas!$B$3),""),"")</f>
        <v>0</v>
      </c>
      <c r="C18">
        <f>if(C$1&lt;&gt;"",iferror(if(if(left(tipp!L17,find(":",tipp!L17)-1)&gt;right(tipp!L17,(len(tipp!L17)-find(":",tipp!L17))),1,if(right(tipp!L17,(len(tipp!L17)-find(":",tipp!L17)))&gt;left(tipp!L17,find(":",tipp!L17)-1),2,"x"))=tipp!$I17,tipp!$J17*pontozas!$B$1)+if(left(tipp!L17,find(":",tipp!L17)-1)-right(tipp!L17,(len(tipp!L17)-find(":",tipp!L17)))=tipp!$G17-tipp!$H17,pontozas!$B$2,0)+if(tipp!L17=tipp!$F17,pontozas!$B$3),""),"")</f>
        <v>3.1</v>
      </c>
      <c r="D18">
        <f>if(D$1&lt;&gt;"",iferror(if(if(left(tipp!M17,find(":",tipp!M17)-1)&gt;right(tipp!M17,(len(tipp!M17)-find(":",tipp!M17))),1,if(right(tipp!M17,(len(tipp!M17)-find(":",tipp!M17)))&gt;left(tipp!M17,find(":",tipp!M17)-1),2,"x"))=tipp!$I17,tipp!$J17*pontozas!$B$1)+if(left(tipp!M17,find(":",tipp!M17)-1)-right(tipp!M17,(len(tipp!M17)-find(":",tipp!M17)))=tipp!$G17-tipp!$H17,pontozas!$B$2,0)+if(tipp!M17=tipp!$F17,pontozas!$B$3),""),"")</f>
        <v>0</v>
      </c>
      <c r="E18" t="str">
        <f>if(E$1&lt;&gt;"",iferror(if(if(left(tipp!N17,find(":",tipp!N17)-1)&gt;right(tipp!N17,(len(tipp!N17)-find(":",tipp!N17))),1,if(right(tipp!N17,(len(tipp!N17)-find(":",tipp!N17)))&gt;left(tipp!N17,find(":",tipp!N17)-1),2,"x"))=tipp!$I17,tipp!$J17*pontozas!$B$1)+if(left(tipp!N17,find(":",tipp!N17)-1)-right(tipp!N17,(len(tipp!N17)-find(":",tipp!N17)))=tipp!$G17-tipp!$H17,pontozas!$B$2,0)+if(tipp!N17=tipp!$F17,pontozas!$B$3),""),"")</f>
        <v/>
      </c>
      <c r="F18">
        <f>if(F$1&lt;&gt;"",iferror(if(if(left(tipp!O17,find(":",tipp!O17)-1)&gt;right(tipp!O17,(len(tipp!O17)-find(":",tipp!O17))),1,if(right(tipp!O17,(len(tipp!O17)-find(":",tipp!O17)))&gt;left(tipp!O17,find(":",tipp!O17)-1),2,"x"))=tipp!$I17,tipp!$J17*pontozas!$B$1)+if(left(tipp!O17,find(":",tipp!O17)-1)-right(tipp!O17,(len(tipp!O17)-find(":",tipp!O17)))=tipp!$G17-tipp!$H17,pontozas!$B$2,0)+if(tipp!O17=tipp!$F17,pontozas!$B$3),""),"")</f>
        <v>3.1</v>
      </c>
      <c r="G18" t="str">
        <f>if(G$1&lt;&gt;"",iferror(if(if(left(tipp!P17,find(":",tipp!P17)-1)&gt;right(tipp!P17,(len(tipp!P17)-find(":",tipp!P17))),1,if(right(tipp!P17,(len(tipp!P17)-find(":",tipp!P17)))&gt;left(tipp!P17,find(":",tipp!P17)-1),2,"x"))=tipp!$I17,tipp!$J17*pontozas!$B$1)+if(left(tipp!P17,find(":",tipp!P17)-1)-right(tipp!P17,(len(tipp!P17)-find(":",tipp!P17)))=tipp!$G17-tipp!$H17,pontozas!$B$2,0)+if(tipp!P17=tipp!$F17,pontozas!$B$3),""),"")</f>
        <v/>
      </c>
      <c r="H18">
        <f>if(H$1&lt;&gt;"",iferror(if(if(left(tipp!Q17,find(":",tipp!Q17)-1)&gt;right(tipp!Q17,(len(tipp!Q17)-find(":",tipp!Q17))),1,if(right(tipp!Q17,(len(tipp!Q17)-find(":",tipp!Q17)))&gt;left(tipp!Q17,find(":",tipp!Q17)-1),2,"x"))=tipp!$I17,tipp!$J17*pontozas!$B$1)+if(left(tipp!Q17,find(":",tipp!Q17)-1)-right(tipp!Q17,(len(tipp!Q17)-find(":",tipp!Q17)))=tipp!$G17-tipp!$H17,pontozas!$B$2,0)+if(tipp!Q17=tipp!$F17,pontozas!$B$3),""),"")</f>
        <v>0</v>
      </c>
      <c r="I18" t="str">
        <f>if(I$1&lt;&gt;"",iferror(if(if(left(tipp!R17,find(":",tipp!R17)-1)&gt;right(tipp!R17,(len(tipp!R17)-find(":",tipp!R17))),1,if(right(tipp!R17,(len(tipp!R17)-find(":",tipp!R17)))&gt;left(tipp!R17,find(":",tipp!R17)-1),2,"x"))=tipp!$I17,tipp!$J17*pontozas!$B$1)+if(left(tipp!R17,find(":",tipp!R17)-1)-right(tipp!R17,(len(tipp!R17)-find(":",tipp!R17)))=tipp!$G17-tipp!$H17,pontozas!$B$2,0)+if(tipp!R17=tipp!$F17,pontozas!$B$3),""),"")</f>
        <v/>
      </c>
      <c r="J18" t="str">
        <f>if(J$1&lt;&gt;"",iferror(if(if(left(tipp!S17,find(":",tipp!S17)-1)&gt;right(tipp!S17,(len(tipp!S17)-find(":",tipp!S17))),1,if(right(tipp!S17,(len(tipp!S17)-find(":",tipp!S17)))&gt;left(tipp!S17,find(":",tipp!S17)-1),2,"x"))=tipp!$I17,tipp!$J17*pontozas!$B$1)+if(left(tipp!S17,find(":",tipp!S17)-1)-right(tipp!S17,(len(tipp!S17)-find(":",tipp!S17)))=tipp!$G17-tipp!$H17,pontozas!$B$2,0)+if(tipp!S17=tipp!$F17,pontozas!$B$3),""),"")</f>
        <v/>
      </c>
      <c r="K18" t="str">
        <f>if(K$1&lt;&gt;"",iferror(if(if(left(tipp!T17,find(":",tipp!T17)-1)&gt;right(tipp!T17,(len(tipp!T17)-find(":",tipp!T17))),1,if(right(tipp!T17,(len(tipp!T17)-find(":",tipp!T17)))&gt;left(tipp!T17,find(":",tipp!T17)-1),2,"x"))=tipp!$I17,tipp!$J17*pontozas!$B$1)+if(left(tipp!T17,find(":",tipp!T17)-1)-right(tipp!T17,(len(tipp!T17)-find(":",tipp!T17)))=tipp!$G17-tipp!$H17,pontozas!$B$2,0)+if(tipp!T17=tipp!$F17,pontozas!$B$3),""),"")</f>
        <v/>
      </c>
      <c r="L18" t="str">
        <f>if(L$1&lt;&gt;"",iferror(if(if(left(tipp!U17,find(":",tipp!U17)-1)&gt;right(tipp!U17,(len(tipp!U17)-find(":",tipp!U17))),1,if(right(tipp!U17,(len(tipp!U17)-find(":",tipp!U17)))&gt;left(tipp!U17,find(":",tipp!U17)-1),2,"x"))=tipp!$I17,tipp!$J17*pontozas!$B$1)+if(left(tipp!U17,find(":",tipp!U17)-1)-right(tipp!U17,(len(tipp!U17)-find(":",tipp!U17)))=tipp!$G17-tipp!$H17,pontozas!$B$2,0)+if(tipp!U17=tipp!$F17,pontozas!$B$3),""),"")</f>
        <v/>
      </c>
      <c r="M18" t="str">
        <f>if(M$1&lt;&gt;"",iferror(if(if(left(tipp!V17,find(":",tipp!V17)-1)&gt;right(tipp!V17,(len(tipp!V17)-find(":",tipp!V17))),1,if(right(tipp!V17,(len(tipp!V17)-find(":",tipp!V17)))&gt;left(tipp!V17,find(":",tipp!V17)-1),2,"x"))=tipp!$I17,tipp!$J17*pontozas!$B$1)+if(left(tipp!V17,find(":",tipp!V17)-1)-right(tipp!V17,(len(tipp!V17)-find(":",tipp!V17)))=tipp!$G17-tipp!$H17,pontozas!$B$2,0)+if(tipp!V17=tipp!$F17,pontozas!$B$3),""),"")</f>
        <v/>
      </c>
      <c r="N18" t="str">
        <f>if(N$1&lt;&gt;"",iferror(if(if(left(tipp!W17,find(":",tipp!W17)-1)&gt;right(tipp!W17,(len(tipp!W17)-find(":",tipp!W17))),1,if(right(tipp!W17,(len(tipp!W17)-find(":",tipp!W17)))&gt;left(tipp!W17,find(":",tipp!W17)-1),2,"x"))=tipp!$I17,tipp!$J17*pontozas!$B$1)+if(left(tipp!W17,find(":",tipp!W17)-1)-right(tipp!W17,(len(tipp!W17)-find(":",tipp!W17)))=tipp!$G17-tipp!$H17,pontozas!$B$2,0)+if(tipp!W17=tipp!$F17,pontozas!$B$3),""),"")</f>
        <v/>
      </c>
      <c r="O18" t="str">
        <f>if(O$1&lt;&gt;"",iferror(if(if(left(tipp!X17,find(":",tipp!X17)-1)&gt;right(tipp!X17,(len(tipp!X17)-find(":",tipp!X17))),1,if(right(tipp!X17,(len(tipp!X17)-find(":",tipp!X17)))&gt;left(tipp!X17,find(":",tipp!X17)-1),2,"x"))=tipp!$I17,tipp!$J17*pontozas!$B$1)+if(left(tipp!X17,find(":",tipp!X17)-1)-right(tipp!X17,(len(tipp!X17)-find(":",tipp!X17)))=tipp!$G17-tipp!$H17,pontozas!$B$2,0)+if(tipp!X17=tipp!$F17,pontozas!$B$3),""),"")</f>
        <v/>
      </c>
    </row>
    <row r="19">
      <c r="A19" t="str">
        <f>CONCATENATE(tipp!A18&amp;" : "&amp;tipp!B18)</f>
        <v>South Korea : Canada</v>
      </c>
      <c r="B19">
        <f>if(B$1&lt;&gt;"",iferror(if(if(left(tipp!K18,find(":",tipp!K18)-1)&gt;right(tipp!K18,(len(tipp!K18)-find(":",tipp!K18))),1,if(right(tipp!K18,(len(tipp!K18)-find(":",tipp!K18)))&gt;left(tipp!K18,find(":",tipp!K18)-1),2,"x"))=tipp!$I18,tipp!$J18*pontozas!$B$1)+if(left(tipp!K18,find(":",tipp!K18)-1)-right(tipp!K18,(len(tipp!K18)-find(":",tipp!K18)))=tipp!$G18-tipp!$H18,pontozas!$B$2,0)+if(tipp!K18=tipp!$F18,pontozas!$B$3),""),"")</f>
        <v>1.01</v>
      </c>
      <c r="C19">
        <f>if(C$1&lt;&gt;"",iferror(if(if(left(tipp!L18,find(":",tipp!L18)-1)&gt;right(tipp!L18,(len(tipp!L18)-find(":",tipp!L18))),1,if(right(tipp!L18,(len(tipp!L18)-find(":",tipp!L18)))&gt;left(tipp!L18,find(":",tipp!L18)-1),2,"x"))=tipp!$I18,tipp!$J18*pontozas!$B$1)+if(left(tipp!L18,find(":",tipp!L18)-1)-right(tipp!L18,(len(tipp!L18)-find(":",tipp!L18)))=tipp!$G18-tipp!$H18,pontozas!$B$2,0)+if(tipp!L18=tipp!$F18,pontozas!$B$3),""),"")</f>
        <v>1.01</v>
      </c>
      <c r="D19">
        <f>if(D$1&lt;&gt;"",iferror(if(if(left(tipp!M18,find(":",tipp!M18)-1)&gt;right(tipp!M18,(len(tipp!M18)-find(":",tipp!M18))),1,if(right(tipp!M18,(len(tipp!M18)-find(":",tipp!M18)))&gt;left(tipp!M18,find(":",tipp!M18)-1),2,"x"))=tipp!$I18,tipp!$J18*pontozas!$B$1)+if(left(tipp!M18,find(":",tipp!M18)-1)-right(tipp!M18,(len(tipp!M18)-find(":",tipp!M18)))=tipp!$G18-tipp!$H18,pontozas!$B$2,0)+if(tipp!M18=tipp!$F18,pontozas!$B$3),""),"")</f>
        <v>1.01</v>
      </c>
      <c r="E19" t="str">
        <f>if(E$1&lt;&gt;"",iferror(if(if(left(tipp!N18,find(":",tipp!N18)-1)&gt;right(tipp!N18,(len(tipp!N18)-find(":",tipp!N18))),1,if(right(tipp!N18,(len(tipp!N18)-find(":",tipp!N18)))&gt;left(tipp!N18,find(":",tipp!N18)-1),2,"x"))=tipp!$I18,tipp!$J18*pontozas!$B$1)+if(left(tipp!N18,find(":",tipp!N18)-1)-right(tipp!N18,(len(tipp!N18)-find(":",tipp!N18)))=tipp!$G18-tipp!$H18,pontozas!$B$2,0)+if(tipp!N18=tipp!$F18,pontozas!$B$3),""),"")</f>
        <v/>
      </c>
      <c r="F19">
        <f>if(F$1&lt;&gt;"",iferror(if(if(left(tipp!O18,find(":",tipp!O18)-1)&gt;right(tipp!O18,(len(tipp!O18)-find(":",tipp!O18))),1,if(right(tipp!O18,(len(tipp!O18)-find(":",tipp!O18)))&gt;left(tipp!O18,find(":",tipp!O18)-1),2,"x"))=tipp!$I18,tipp!$J18*pontozas!$B$1)+if(left(tipp!O18,find(":",tipp!O18)-1)-right(tipp!O18,(len(tipp!O18)-find(":",tipp!O18)))=tipp!$G18-tipp!$H18,pontozas!$B$2,0)+if(tipp!O18=tipp!$F18,pontozas!$B$3),""),"")</f>
        <v>1.01</v>
      </c>
      <c r="G19" t="str">
        <f>if(G$1&lt;&gt;"",iferror(if(if(left(tipp!P18,find(":",tipp!P18)-1)&gt;right(tipp!P18,(len(tipp!P18)-find(":",tipp!P18))),1,if(right(tipp!P18,(len(tipp!P18)-find(":",tipp!P18)))&gt;left(tipp!P18,find(":",tipp!P18)-1),2,"x"))=tipp!$I18,tipp!$J18*pontozas!$B$1)+if(left(tipp!P18,find(":",tipp!P18)-1)-right(tipp!P18,(len(tipp!P18)-find(":",tipp!P18)))=tipp!$G18-tipp!$H18,pontozas!$B$2,0)+if(tipp!P18=tipp!$F18,pontozas!$B$3),""),"")</f>
        <v/>
      </c>
      <c r="H19" t="str">
        <f>if(H$1&lt;&gt;"",iferror(if(if(left(tipp!Q18,find(":",tipp!Q18)-1)&gt;right(tipp!Q18,(len(tipp!Q18)-find(":",tipp!Q18))),1,if(right(tipp!Q18,(len(tipp!Q18)-find(":",tipp!Q18)))&gt;left(tipp!Q18,find(":",tipp!Q18)-1),2,"x"))=tipp!$I18,tipp!$J18*pontozas!$B$1)+if(left(tipp!Q18,find(":",tipp!Q18)-1)-right(tipp!Q18,(len(tipp!Q18)-find(":",tipp!Q18)))=tipp!$G18-tipp!$H18,pontozas!$B$2,0)+if(tipp!Q18=tipp!$F18,pontozas!$B$3),""),"")</f>
        <v/>
      </c>
      <c r="I19" t="str">
        <f>if(I$1&lt;&gt;"",iferror(if(if(left(tipp!R18,find(":",tipp!R18)-1)&gt;right(tipp!R18,(len(tipp!R18)-find(":",tipp!R18))),1,if(right(tipp!R18,(len(tipp!R18)-find(":",tipp!R18)))&gt;left(tipp!R18,find(":",tipp!R18)-1),2,"x"))=tipp!$I18,tipp!$J18*pontozas!$B$1)+if(left(tipp!R18,find(":",tipp!R18)-1)-right(tipp!R18,(len(tipp!R18)-find(":",tipp!R18)))=tipp!$G18-tipp!$H18,pontozas!$B$2,0)+if(tipp!R18=tipp!$F18,pontozas!$B$3),""),"")</f>
        <v/>
      </c>
      <c r="J19" t="str">
        <f>if(J$1&lt;&gt;"",iferror(if(if(left(tipp!S18,find(":",tipp!S18)-1)&gt;right(tipp!S18,(len(tipp!S18)-find(":",tipp!S18))),1,if(right(tipp!S18,(len(tipp!S18)-find(":",tipp!S18)))&gt;left(tipp!S18,find(":",tipp!S18)-1),2,"x"))=tipp!$I18,tipp!$J18*pontozas!$B$1)+if(left(tipp!S18,find(":",tipp!S18)-1)-right(tipp!S18,(len(tipp!S18)-find(":",tipp!S18)))=tipp!$G18-tipp!$H18,pontozas!$B$2,0)+if(tipp!S18=tipp!$F18,pontozas!$B$3),""),"")</f>
        <v/>
      </c>
      <c r="K19" t="str">
        <f>if(K$1&lt;&gt;"",iferror(if(if(left(tipp!T18,find(":",tipp!T18)-1)&gt;right(tipp!T18,(len(tipp!T18)-find(":",tipp!T18))),1,if(right(tipp!T18,(len(tipp!T18)-find(":",tipp!T18)))&gt;left(tipp!T18,find(":",tipp!T18)-1),2,"x"))=tipp!$I18,tipp!$J18*pontozas!$B$1)+if(left(tipp!T18,find(":",tipp!T18)-1)-right(tipp!T18,(len(tipp!T18)-find(":",tipp!T18)))=tipp!$G18-tipp!$H18,pontozas!$B$2,0)+if(tipp!T18=tipp!$F18,pontozas!$B$3),""),"")</f>
        <v/>
      </c>
      <c r="L19" t="str">
        <f>if(L$1&lt;&gt;"",iferror(if(if(left(tipp!U18,find(":",tipp!U18)-1)&gt;right(tipp!U18,(len(tipp!U18)-find(":",tipp!U18))),1,if(right(tipp!U18,(len(tipp!U18)-find(":",tipp!U18)))&gt;left(tipp!U18,find(":",tipp!U18)-1),2,"x"))=tipp!$I18,tipp!$J18*pontozas!$B$1)+if(left(tipp!U18,find(":",tipp!U18)-1)-right(tipp!U18,(len(tipp!U18)-find(":",tipp!U18)))=tipp!$G18-tipp!$H18,pontozas!$B$2,0)+if(tipp!U18=tipp!$F18,pontozas!$B$3),""),"")</f>
        <v/>
      </c>
      <c r="M19" t="str">
        <f>if(M$1&lt;&gt;"",iferror(if(if(left(tipp!V18,find(":",tipp!V18)-1)&gt;right(tipp!V18,(len(tipp!V18)-find(":",tipp!V18))),1,if(right(tipp!V18,(len(tipp!V18)-find(":",tipp!V18)))&gt;left(tipp!V18,find(":",tipp!V18)-1),2,"x"))=tipp!$I18,tipp!$J18*pontozas!$B$1)+if(left(tipp!V18,find(":",tipp!V18)-1)-right(tipp!V18,(len(tipp!V18)-find(":",tipp!V18)))=tipp!$G18-tipp!$H18,pontozas!$B$2,0)+if(tipp!V18=tipp!$F18,pontozas!$B$3),""),"")</f>
        <v/>
      </c>
      <c r="N19" t="str">
        <f>if(N$1&lt;&gt;"",iferror(if(if(left(tipp!W18,find(":",tipp!W18)-1)&gt;right(tipp!W18,(len(tipp!W18)-find(":",tipp!W18))),1,if(right(tipp!W18,(len(tipp!W18)-find(":",tipp!W18)))&gt;left(tipp!W18,find(":",tipp!W18)-1),2,"x"))=tipp!$I18,tipp!$J18*pontozas!$B$1)+if(left(tipp!W18,find(":",tipp!W18)-1)-right(tipp!W18,(len(tipp!W18)-find(":",tipp!W18)))=tipp!$G18-tipp!$H18,pontozas!$B$2,0)+if(tipp!W18=tipp!$F18,pontozas!$B$3),""),"")</f>
        <v/>
      </c>
      <c r="O19" t="str">
        <f>if(O$1&lt;&gt;"",iferror(if(if(left(tipp!X18,find(":",tipp!X18)-1)&gt;right(tipp!X18,(len(tipp!X18)-find(":",tipp!X18))),1,if(right(tipp!X18,(len(tipp!X18)-find(":",tipp!X18)))&gt;left(tipp!X18,find(":",tipp!X18)-1),2,"x"))=tipp!$I18,tipp!$J18*pontozas!$B$1)+if(left(tipp!X18,find(":",tipp!X18)-1)-right(tipp!X18,(len(tipp!X18)-find(":",tipp!X18)))=tipp!$G18-tipp!$H18,pontozas!$B$2,0)+if(tipp!X18=tipp!$F18,pontozas!$B$3),""),"")</f>
        <v/>
      </c>
    </row>
    <row r="20">
      <c r="A20" t="str">
        <f>CONCATENATE(tipp!A19&amp;" : "&amp;tipp!B19)</f>
        <v>Germany : Norway</v>
      </c>
      <c r="B20">
        <f>if(B$1&lt;&gt;"",iferror(if(if(left(tipp!K19,find(":",tipp!K19)-1)&gt;right(tipp!K19,(len(tipp!K19)-find(":",tipp!K19))),1,if(right(tipp!K19,(len(tipp!K19)-find(":",tipp!K19)))&gt;left(tipp!K19,find(":",tipp!K19)-1),2,"x"))=tipp!$I19,tipp!$J19*pontozas!$B$1)+if(left(tipp!K19,find(":",tipp!K19)-1)-right(tipp!K19,(len(tipp!K19)-find(":",tipp!K19)))=tipp!$G19-tipp!$H19,pontozas!$B$2,0)+if(tipp!K19=tipp!$F19,pontozas!$B$3),""),"")</f>
        <v>5.4</v>
      </c>
      <c r="C20">
        <f>if(C$1&lt;&gt;"",iferror(if(if(left(tipp!L19,find(":",tipp!L19)-1)&gt;right(tipp!L19,(len(tipp!L19)-find(":",tipp!L19))),1,if(right(tipp!L19,(len(tipp!L19)-find(":",tipp!L19)))&gt;left(tipp!L19,find(":",tipp!L19)-1),2,"x"))=tipp!$I19,tipp!$J19*pontozas!$B$1)+if(left(tipp!L19,find(":",tipp!L19)-1)-right(tipp!L19,(len(tipp!L19)-find(":",tipp!L19)))=tipp!$G19-tipp!$H19,pontozas!$B$2,0)+if(tipp!L19=tipp!$F19,pontozas!$B$3),""),"")</f>
        <v>0</v>
      </c>
      <c r="D20">
        <f>if(D$1&lt;&gt;"",iferror(if(if(left(tipp!M19,find(":",tipp!M19)-1)&gt;right(tipp!M19,(len(tipp!M19)-find(":",tipp!M19))),1,if(right(tipp!M19,(len(tipp!M19)-find(":",tipp!M19)))&gt;left(tipp!M19,find(":",tipp!M19)-1),2,"x"))=tipp!$I19,tipp!$J19*pontozas!$B$1)+if(left(tipp!M19,find(":",tipp!M19)-1)-right(tipp!M19,(len(tipp!M19)-find(":",tipp!M19)))=tipp!$G19-tipp!$H19,pontozas!$B$2,0)+if(tipp!M19=tipp!$F19,pontozas!$B$3),""),"")</f>
        <v>0</v>
      </c>
      <c r="E20" t="str">
        <f>if(E$1&lt;&gt;"",iferror(if(if(left(tipp!N19,find(":",tipp!N19)-1)&gt;right(tipp!N19,(len(tipp!N19)-find(":",tipp!N19))),1,if(right(tipp!N19,(len(tipp!N19)-find(":",tipp!N19)))&gt;left(tipp!N19,find(":",tipp!N19)-1),2,"x"))=tipp!$I19,tipp!$J19*pontozas!$B$1)+if(left(tipp!N19,find(":",tipp!N19)-1)-right(tipp!N19,(len(tipp!N19)-find(":",tipp!N19)))=tipp!$G19-tipp!$H19,pontozas!$B$2,0)+if(tipp!N19=tipp!$F19,pontozas!$B$3),""),"")</f>
        <v/>
      </c>
      <c r="F20">
        <f>if(F$1&lt;&gt;"",iferror(if(if(left(tipp!O19,find(":",tipp!O19)-1)&gt;right(tipp!O19,(len(tipp!O19)-find(":",tipp!O19))),1,if(right(tipp!O19,(len(tipp!O19)-find(":",tipp!O19)))&gt;left(tipp!O19,find(":",tipp!O19)-1),2,"x"))=tipp!$I19,tipp!$J19*pontozas!$B$1)+if(left(tipp!O19,find(":",tipp!O19)-1)-right(tipp!O19,(len(tipp!O19)-find(":",tipp!O19)))=tipp!$G19-tipp!$H19,pontozas!$B$2,0)+if(tipp!O19=tipp!$F19,pontozas!$B$3),""),"")</f>
        <v>0</v>
      </c>
      <c r="G20" t="str">
        <f>if(G$1&lt;&gt;"",iferror(if(if(left(tipp!P19,find(":",tipp!P19)-1)&gt;right(tipp!P19,(len(tipp!P19)-find(":",tipp!P19))),1,if(right(tipp!P19,(len(tipp!P19)-find(":",tipp!P19)))&gt;left(tipp!P19,find(":",tipp!P19)-1),2,"x"))=tipp!$I19,tipp!$J19*pontozas!$B$1)+if(left(tipp!P19,find(":",tipp!P19)-1)-right(tipp!P19,(len(tipp!P19)-find(":",tipp!P19)))=tipp!$G19-tipp!$H19,pontozas!$B$2,0)+if(tipp!P19=tipp!$F19,pontozas!$B$3),""),"")</f>
        <v/>
      </c>
      <c r="H20" t="str">
        <f>if(H$1&lt;&gt;"",iferror(if(if(left(tipp!Q19,find(":",tipp!Q19)-1)&gt;right(tipp!Q19,(len(tipp!Q19)-find(":",tipp!Q19))),1,if(right(tipp!Q19,(len(tipp!Q19)-find(":",tipp!Q19)))&gt;left(tipp!Q19,find(":",tipp!Q19)-1),2,"x"))=tipp!$I19,tipp!$J19*pontozas!$B$1)+if(left(tipp!Q19,find(":",tipp!Q19)-1)-right(tipp!Q19,(len(tipp!Q19)-find(":",tipp!Q19)))=tipp!$G19-tipp!$H19,pontozas!$B$2,0)+if(tipp!Q19=tipp!$F19,pontozas!$B$3),""),"")</f>
        <v/>
      </c>
      <c r="I20" t="str">
        <f>if(I$1&lt;&gt;"",iferror(if(if(left(tipp!R19,find(":",tipp!R19)-1)&gt;right(tipp!R19,(len(tipp!R19)-find(":",tipp!R19))),1,if(right(tipp!R19,(len(tipp!R19)-find(":",tipp!R19)))&gt;left(tipp!R19,find(":",tipp!R19)-1),2,"x"))=tipp!$I19,tipp!$J19*pontozas!$B$1)+if(left(tipp!R19,find(":",tipp!R19)-1)-right(tipp!R19,(len(tipp!R19)-find(":",tipp!R19)))=tipp!$G19-tipp!$H19,pontozas!$B$2,0)+if(tipp!R19=tipp!$F19,pontozas!$B$3),""),"")</f>
        <v/>
      </c>
      <c r="J20" t="str">
        <f>if(J$1&lt;&gt;"",iferror(if(if(left(tipp!S19,find(":",tipp!S19)-1)&gt;right(tipp!S19,(len(tipp!S19)-find(":",tipp!S19))),1,if(right(tipp!S19,(len(tipp!S19)-find(":",tipp!S19)))&gt;left(tipp!S19,find(":",tipp!S19)-1),2,"x"))=tipp!$I19,tipp!$J19*pontozas!$B$1)+if(left(tipp!S19,find(":",tipp!S19)-1)-right(tipp!S19,(len(tipp!S19)-find(":",tipp!S19)))=tipp!$G19-tipp!$H19,pontozas!$B$2,0)+if(tipp!S19=tipp!$F19,pontozas!$B$3),""),"")</f>
        <v/>
      </c>
      <c r="K20" t="str">
        <f>if(K$1&lt;&gt;"",iferror(if(if(left(tipp!T19,find(":",tipp!T19)-1)&gt;right(tipp!T19,(len(tipp!T19)-find(":",tipp!T19))),1,if(right(tipp!T19,(len(tipp!T19)-find(":",tipp!T19)))&gt;left(tipp!T19,find(":",tipp!T19)-1),2,"x"))=tipp!$I19,tipp!$J19*pontozas!$B$1)+if(left(tipp!T19,find(":",tipp!T19)-1)-right(tipp!T19,(len(tipp!T19)-find(":",tipp!T19)))=tipp!$G19-tipp!$H19,pontozas!$B$2,0)+if(tipp!T19=tipp!$F19,pontozas!$B$3),""),"")</f>
        <v/>
      </c>
      <c r="L20" t="str">
        <f>if(L$1&lt;&gt;"",iferror(if(if(left(tipp!U19,find(":",tipp!U19)-1)&gt;right(tipp!U19,(len(tipp!U19)-find(":",tipp!U19))),1,if(right(tipp!U19,(len(tipp!U19)-find(":",tipp!U19)))&gt;left(tipp!U19,find(":",tipp!U19)-1),2,"x"))=tipp!$I19,tipp!$J19*pontozas!$B$1)+if(left(tipp!U19,find(":",tipp!U19)-1)-right(tipp!U19,(len(tipp!U19)-find(":",tipp!U19)))=tipp!$G19-tipp!$H19,pontozas!$B$2,0)+if(tipp!U19=tipp!$F19,pontozas!$B$3),""),"")</f>
        <v/>
      </c>
      <c r="M20" t="str">
        <f>if(M$1&lt;&gt;"",iferror(if(if(left(tipp!V19,find(":",tipp!V19)-1)&gt;right(tipp!V19,(len(tipp!V19)-find(":",tipp!V19))),1,if(right(tipp!V19,(len(tipp!V19)-find(":",tipp!V19)))&gt;left(tipp!V19,find(":",tipp!V19)-1),2,"x"))=tipp!$I19,tipp!$J19*pontozas!$B$1)+if(left(tipp!V19,find(":",tipp!V19)-1)-right(tipp!V19,(len(tipp!V19)-find(":",tipp!V19)))=tipp!$G19-tipp!$H19,pontozas!$B$2,0)+if(tipp!V19=tipp!$F19,pontozas!$B$3),""),"")</f>
        <v/>
      </c>
      <c r="N20" t="str">
        <f>if(N$1&lt;&gt;"",iferror(if(if(left(tipp!W19,find(":",tipp!W19)-1)&gt;right(tipp!W19,(len(tipp!W19)-find(":",tipp!W19))),1,if(right(tipp!W19,(len(tipp!W19)-find(":",tipp!W19)))&gt;left(tipp!W19,find(":",tipp!W19)-1),2,"x"))=tipp!$I19,tipp!$J19*pontozas!$B$1)+if(left(tipp!W19,find(":",tipp!W19)-1)-right(tipp!W19,(len(tipp!W19)-find(":",tipp!W19)))=tipp!$G19-tipp!$H19,pontozas!$B$2,0)+if(tipp!W19=tipp!$F19,pontozas!$B$3),""),"")</f>
        <v/>
      </c>
      <c r="O20" t="str">
        <f>if(O$1&lt;&gt;"",iferror(if(if(left(tipp!X19,find(":",tipp!X19)-1)&gt;right(tipp!X19,(len(tipp!X19)-find(":",tipp!X19))),1,if(right(tipp!X19,(len(tipp!X19)-find(":",tipp!X19)))&gt;left(tipp!X19,find(":",tipp!X19)-1),2,"x"))=tipp!$I19,tipp!$J19*pontozas!$B$1)+if(left(tipp!X19,find(":",tipp!X19)-1)-right(tipp!X19,(len(tipp!X19)-find(":",tipp!X19)))=tipp!$G19-tipp!$H19,pontozas!$B$2,0)+if(tipp!X19=tipp!$F19,pontozas!$B$3),""),"")</f>
        <v/>
      </c>
    </row>
    <row r="21">
      <c r="A21" t="str">
        <f>CONCATENATE(tipp!A20&amp;" : "&amp;tipp!B20)</f>
        <v>Latvia : Finland</v>
      </c>
      <c r="B21">
        <f>if(B$1&lt;&gt;"",iferror(if(if(left(tipp!K20,find(":",tipp!K20)-1)&gt;right(tipp!K20,(len(tipp!K20)-find(":",tipp!K20))),1,if(right(tipp!K20,(len(tipp!K20)-find(":",tipp!K20)))&gt;left(tipp!K20,find(":",tipp!K20)-1),2,"x"))=tipp!$I20,tipp!$J20*pontozas!$B$1)+if(left(tipp!K20,find(":",tipp!K20)-1)-right(tipp!K20,(len(tipp!K20)-find(":",tipp!K20)))=tipp!$G20-tipp!$H20,pontozas!$B$2,0)+if(tipp!K20=tipp!$F20,pontozas!$B$3),""),"")</f>
        <v>1.22</v>
      </c>
      <c r="C21">
        <f>if(C$1&lt;&gt;"",iferror(if(if(left(tipp!L20,find(":",tipp!L20)-1)&gt;right(tipp!L20,(len(tipp!L20)-find(":",tipp!L20))),1,if(right(tipp!L20,(len(tipp!L20)-find(":",tipp!L20)))&gt;left(tipp!L20,find(":",tipp!L20)-1),2,"x"))=tipp!$I20,tipp!$J20*pontozas!$B$1)+if(left(tipp!L20,find(":",tipp!L20)-1)-right(tipp!L20,(len(tipp!L20)-find(":",tipp!L20)))=tipp!$G20-tipp!$H20,pontozas!$B$2,0)+if(tipp!L20=tipp!$F20,pontozas!$B$3),""),"")</f>
        <v>1.22</v>
      </c>
      <c r="D21">
        <f>if(D$1&lt;&gt;"",iferror(if(if(left(tipp!M20,find(":",tipp!M20)-1)&gt;right(tipp!M20,(len(tipp!M20)-find(":",tipp!M20))),1,if(right(tipp!M20,(len(tipp!M20)-find(":",tipp!M20)))&gt;left(tipp!M20,find(":",tipp!M20)-1),2,"x"))=tipp!$I20,tipp!$J20*pontozas!$B$1)+if(left(tipp!M20,find(":",tipp!M20)-1)-right(tipp!M20,(len(tipp!M20)-find(":",tipp!M20)))=tipp!$G20-tipp!$H20,pontozas!$B$2,0)+if(tipp!M20=tipp!$F20,pontozas!$B$3),""),"")</f>
        <v>1.22</v>
      </c>
      <c r="E21" t="str">
        <f>if(E$1&lt;&gt;"",iferror(if(if(left(tipp!N20,find(":",tipp!N20)-1)&gt;right(tipp!N20,(len(tipp!N20)-find(":",tipp!N20))),1,if(right(tipp!N20,(len(tipp!N20)-find(":",tipp!N20)))&gt;left(tipp!N20,find(":",tipp!N20)-1),2,"x"))=tipp!$I20,tipp!$J20*pontozas!$B$1)+if(left(tipp!N20,find(":",tipp!N20)-1)-right(tipp!N20,(len(tipp!N20)-find(":",tipp!N20)))=tipp!$G20-tipp!$H20,pontozas!$B$2,0)+if(tipp!N20=tipp!$F20,pontozas!$B$3),""),"")</f>
        <v/>
      </c>
      <c r="F21">
        <f>if(F$1&lt;&gt;"",iferror(if(if(left(tipp!O20,find(":",tipp!O20)-1)&gt;right(tipp!O20,(len(tipp!O20)-find(":",tipp!O20))),1,if(right(tipp!O20,(len(tipp!O20)-find(":",tipp!O20)))&gt;left(tipp!O20,find(":",tipp!O20)-1),2,"x"))=tipp!$I20,tipp!$J20*pontozas!$B$1)+if(left(tipp!O20,find(":",tipp!O20)-1)-right(tipp!O20,(len(tipp!O20)-find(":",tipp!O20)))=tipp!$G20-tipp!$H20,pontozas!$B$2,0)+if(tipp!O20=tipp!$F20,pontozas!$B$3),""),"")</f>
        <v>1.22</v>
      </c>
      <c r="G21" t="str">
        <f>if(G$1&lt;&gt;"",iferror(if(if(left(tipp!P20,find(":",tipp!P20)-1)&gt;right(tipp!P20,(len(tipp!P20)-find(":",tipp!P20))),1,if(right(tipp!P20,(len(tipp!P20)-find(":",tipp!P20)))&gt;left(tipp!P20,find(":",tipp!P20)-1),2,"x"))=tipp!$I20,tipp!$J20*pontozas!$B$1)+if(left(tipp!P20,find(":",tipp!P20)-1)-right(tipp!P20,(len(tipp!P20)-find(":",tipp!P20)))=tipp!$G20-tipp!$H20,pontozas!$B$2,0)+if(tipp!P20=tipp!$F20,pontozas!$B$3),""),"")</f>
        <v/>
      </c>
      <c r="H21">
        <f>if(H$1&lt;&gt;"",iferror(if(if(left(tipp!Q20,find(":",tipp!Q20)-1)&gt;right(tipp!Q20,(len(tipp!Q20)-find(":",tipp!Q20))),1,if(right(tipp!Q20,(len(tipp!Q20)-find(":",tipp!Q20)))&gt;left(tipp!Q20,find(":",tipp!Q20)-1),2,"x"))=tipp!$I20,tipp!$J20*pontozas!$B$1)+if(left(tipp!Q20,find(":",tipp!Q20)-1)-right(tipp!Q20,(len(tipp!Q20)-find(":",tipp!Q20)))=tipp!$G20-tipp!$H20,pontozas!$B$2,0)+if(tipp!Q20=tipp!$F20,pontozas!$B$3),""),"")</f>
        <v>1.22</v>
      </c>
      <c r="I21" t="str">
        <f>if(I$1&lt;&gt;"",iferror(if(if(left(tipp!R20,find(":",tipp!R20)-1)&gt;right(tipp!R20,(len(tipp!R20)-find(":",tipp!R20))),1,if(right(tipp!R20,(len(tipp!R20)-find(":",tipp!R20)))&gt;left(tipp!R20,find(":",tipp!R20)-1),2,"x"))=tipp!$I20,tipp!$J20*pontozas!$B$1)+if(left(tipp!R20,find(":",tipp!R20)-1)-right(tipp!R20,(len(tipp!R20)-find(":",tipp!R20)))=tipp!$G20-tipp!$H20,pontozas!$B$2,0)+if(tipp!R20=tipp!$F20,pontozas!$B$3),""),"")</f>
        <v/>
      </c>
      <c r="J21" t="str">
        <f>if(J$1&lt;&gt;"",iferror(if(if(left(tipp!S20,find(":",tipp!S20)-1)&gt;right(tipp!S20,(len(tipp!S20)-find(":",tipp!S20))),1,if(right(tipp!S20,(len(tipp!S20)-find(":",tipp!S20)))&gt;left(tipp!S20,find(":",tipp!S20)-1),2,"x"))=tipp!$I20,tipp!$J20*pontozas!$B$1)+if(left(tipp!S20,find(":",tipp!S20)-1)-right(tipp!S20,(len(tipp!S20)-find(":",tipp!S20)))=tipp!$G20-tipp!$H20,pontozas!$B$2,0)+if(tipp!S20=tipp!$F20,pontozas!$B$3),""),"")</f>
        <v/>
      </c>
      <c r="K21" t="str">
        <f>if(K$1&lt;&gt;"",iferror(if(if(left(tipp!T20,find(":",tipp!T20)-1)&gt;right(tipp!T20,(len(tipp!T20)-find(":",tipp!T20))),1,if(right(tipp!T20,(len(tipp!T20)-find(":",tipp!T20)))&gt;left(tipp!T20,find(":",tipp!T20)-1),2,"x"))=tipp!$I20,tipp!$J20*pontozas!$B$1)+if(left(tipp!T20,find(":",tipp!T20)-1)-right(tipp!T20,(len(tipp!T20)-find(":",tipp!T20)))=tipp!$G20-tipp!$H20,pontozas!$B$2,0)+if(tipp!T20=tipp!$F20,pontozas!$B$3),""),"")</f>
        <v/>
      </c>
      <c r="L21" t="str">
        <f>if(L$1&lt;&gt;"",iferror(if(if(left(tipp!U20,find(":",tipp!U20)-1)&gt;right(tipp!U20,(len(tipp!U20)-find(":",tipp!U20))),1,if(right(tipp!U20,(len(tipp!U20)-find(":",tipp!U20)))&gt;left(tipp!U20,find(":",tipp!U20)-1),2,"x"))=tipp!$I20,tipp!$J20*pontozas!$B$1)+if(left(tipp!U20,find(":",tipp!U20)-1)-right(tipp!U20,(len(tipp!U20)-find(":",tipp!U20)))=tipp!$G20-tipp!$H20,pontozas!$B$2,0)+if(tipp!U20=tipp!$F20,pontozas!$B$3),""),"")</f>
        <v/>
      </c>
      <c r="M21" t="str">
        <f>if(M$1&lt;&gt;"",iferror(if(if(left(tipp!V20,find(":",tipp!V20)-1)&gt;right(tipp!V20,(len(tipp!V20)-find(":",tipp!V20))),1,if(right(tipp!V20,(len(tipp!V20)-find(":",tipp!V20)))&gt;left(tipp!V20,find(":",tipp!V20)-1),2,"x"))=tipp!$I20,tipp!$J20*pontozas!$B$1)+if(left(tipp!V20,find(":",tipp!V20)-1)-right(tipp!V20,(len(tipp!V20)-find(":",tipp!V20)))=tipp!$G20-tipp!$H20,pontozas!$B$2,0)+if(tipp!V20=tipp!$F20,pontozas!$B$3),""),"")</f>
        <v/>
      </c>
      <c r="N21" t="str">
        <f>if(N$1&lt;&gt;"",iferror(if(if(left(tipp!W20,find(":",tipp!W20)-1)&gt;right(tipp!W20,(len(tipp!W20)-find(":",tipp!W20))),1,if(right(tipp!W20,(len(tipp!W20)-find(":",tipp!W20)))&gt;left(tipp!W20,find(":",tipp!W20)-1),2,"x"))=tipp!$I20,tipp!$J20*pontozas!$B$1)+if(left(tipp!W20,find(":",tipp!W20)-1)-right(tipp!W20,(len(tipp!W20)-find(":",tipp!W20)))=tipp!$G20-tipp!$H20,pontozas!$B$2,0)+if(tipp!W20=tipp!$F20,pontozas!$B$3),""),"")</f>
        <v/>
      </c>
      <c r="O21" t="str">
        <f>if(O$1&lt;&gt;"",iferror(if(if(left(tipp!X20,find(":",tipp!X20)-1)&gt;right(tipp!X20,(len(tipp!X20)-find(":",tipp!X20))),1,if(right(tipp!X20,(len(tipp!X20)-find(":",tipp!X20)))&gt;left(tipp!X20,find(":",tipp!X20)-1),2,"x"))=tipp!$I20,tipp!$J20*pontozas!$B$1)+if(left(tipp!X20,find(":",tipp!X20)-1)-right(tipp!X20,(len(tipp!X20)-find(":",tipp!X20)))=tipp!$G20-tipp!$H20,pontozas!$B$2,0)+if(tipp!X20=tipp!$F20,pontozas!$B$3),""),"")</f>
        <v/>
      </c>
    </row>
    <row r="22">
      <c r="A22" t="str">
        <f>CONCATENATE(tipp!A21&amp;" : "&amp;tipp!B21)</f>
        <v>Belarus : Russia</v>
      </c>
      <c r="B22">
        <f>if(B$1&lt;&gt;"",iferror(if(if(left(tipp!K21,find(":",tipp!K21)-1)&gt;right(tipp!K21,(len(tipp!K21)-find(":",tipp!K21))),1,if(right(tipp!K21,(len(tipp!K21)-find(":",tipp!K21)))&gt;left(tipp!K21,find(":",tipp!K21)-1),2,"x"))=tipp!$I21,tipp!$J21*pontozas!$B$1)+if(left(tipp!K21,find(":",tipp!K21)-1)-right(tipp!K21,(len(tipp!K21)-find(":",tipp!K21)))=tipp!$G21-tipp!$H21,pontozas!$B$2,0)+if(tipp!K21=tipp!$F21,pontozas!$B$3),""),"")</f>
        <v>1.15</v>
      </c>
      <c r="C22">
        <f>if(C$1&lt;&gt;"",iferror(if(if(left(tipp!L21,find(":",tipp!L21)-1)&gt;right(tipp!L21,(len(tipp!L21)-find(":",tipp!L21))),1,if(right(tipp!L21,(len(tipp!L21)-find(":",tipp!L21)))&gt;left(tipp!L21,find(":",tipp!L21)-1),2,"x"))=tipp!$I21,tipp!$J21*pontozas!$B$1)+if(left(tipp!L21,find(":",tipp!L21)-1)-right(tipp!L21,(len(tipp!L21)-find(":",tipp!L21)))=tipp!$G21-tipp!$H21,pontozas!$B$2,0)+if(tipp!L21=tipp!$F21,pontozas!$B$3),""),"")</f>
        <v>1.15</v>
      </c>
      <c r="D22">
        <f>if(D$1&lt;&gt;"",iferror(if(if(left(tipp!M21,find(":",tipp!M21)-1)&gt;right(tipp!M21,(len(tipp!M21)-find(":",tipp!M21))),1,if(right(tipp!M21,(len(tipp!M21)-find(":",tipp!M21)))&gt;left(tipp!M21,find(":",tipp!M21)-1),2,"x"))=tipp!$I21,tipp!$J21*pontozas!$B$1)+if(left(tipp!M21,find(":",tipp!M21)-1)-right(tipp!M21,(len(tipp!M21)-find(":",tipp!M21)))=tipp!$G21-tipp!$H21,pontozas!$B$2,0)+if(tipp!M21=tipp!$F21,pontozas!$B$3),""),"")</f>
        <v>1.15</v>
      </c>
      <c r="E22">
        <f>if(E$1&lt;&gt;"",iferror(if(if(left(tipp!N21,find(":",tipp!N21)-1)&gt;right(tipp!N21,(len(tipp!N21)-find(":",tipp!N21))),1,if(right(tipp!N21,(len(tipp!N21)-find(":",tipp!N21)))&gt;left(tipp!N21,find(":",tipp!N21)-1),2,"x"))=tipp!$I21,tipp!$J21*pontozas!$B$1)+if(left(tipp!N21,find(":",tipp!N21)-1)-right(tipp!N21,(len(tipp!N21)-find(":",tipp!N21)))=tipp!$G21-tipp!$H21,pontozas!$B$2,0)+if(tipp!N21=tipp!$F21,pontozas!$B$3),""),"")</f>
        <v>2.15</v>
      </c>
      <c r="F22">
        <f>if(F$1&lt;&gt;"",iferror(if(if(left(tipp!O21,find(":",tipp!O21)-1)&gt;right(tipp!O21,(len(tipp!O21)-find(":",tipp!O21))),1,if(right(tipp!O21,(len(tipp!O21)-find(":",tipp!O21)))&gt;left(tipp!O21,find(":",tipp!O21)-1),2,"x"))=tipp!$I21,tipp!$J21*pontozas!$B$1)+if(left(tipp!O21,find(":",tipp!O21)-1)-right(tipp!O21,(len(tipp!O21)-find(":",tipp!O21)))=tipp!$G21-tipp!$H21,pontozas!$B$2,0)+if(tipp!O21=tipp!$F21,pontozas!$B$3),""),"")</f>
        <v>1.15</v>
      </c>
      <c r="G22" t="str">
        <f>if(G$1&lt;&gt;"",iferror(if(if(left(tipp!P21,find(":",tipp!P21)-1)&gt;right(tipp!P21,(len(tipp!P21)-find(":",tipp!P21))),1,if(right(tipp!P21,(len(tipp!P21)-find(":",tipp!P21)))&gt;left(tipp!P21,find(":",tipp!P21)-1),2,"x"))=tipp!$I21,tipp!$J21*pontozas!$B$1)+if(left(tipp!P21,find(":",tipp!P21)-1)-right(tipp!P21,(len(tipp!P21)-find(":",tipp!P21)))=tipp!$G21-tipp!$H21,pontozas!$B$2,0)+if(tipp!P21=tipp!$F21,pontozas!$B$3),""),"")</f>
        <v/>
      </c>
      <c r="H22">
        <f>if(H$1&lt;&gt;"",iferror(if(if(left(tipp!Q21,find(":",tipp!Q21)-1)&gt;right(tipp!Q21,(len(tipp!Q21)-find(":",tipp!Q21))),1,if(right(tipp!Q21,(len(tipp!Q21)-find(":",tipp!Q21)))&gt;left(tipp!Q21,find(":",tipp!Q21)-1),2,"x"))=tipp!$I21,tipp!$J21*pontozas!$B$1)+if(left(tipp!Q21,find(":",tipp!Q21)-1)-right(tipp!Q21,(len(tipp!Q21)-find(":",tipp!Q21)))=tipp!$G21-tipp!$H21,pontozas!$B$2,0)+if(tipp!Q21=tipp!$F21,pontozas!$B$3),""),"")</f>
        <v>1.15</v>
      </c>
      <c r="I22" t="str">
        <f>if(I$1&lt;&gt;"",iferror(if(if(left(tipp!R21,find(":",tipp!R21)-1)&gt;right(tipp!R21,(len(tipp!R21)-find(":",tipp!R21))),1,if(right(tipp!R21,(len(tipp!R21)-find(":",tipp!R21)))&gt;left(tipp!R21,find(":",tipp!R21)-1),2,"x"))=tipp!$I21,tipp!$J21*pontozas!$B$1)+if(left(tipp!R21,find(":",tipp!R21)-1)-right(tipp!R21,(len(tipp!R21)-find(":",tipp!R21)))=tipp!$G21-tipp!$H21,pontozas!$B$2,0)+if(tipp!R21=tipp!$F21,pontozas!$B$3),""),"")</f>
        <v/>
      </c>
      <c r="J22" t="str">
        <f>if(J$1&lt;&gt;"",iferror(if(if(left(tipp!S21,find(":",tipp!S21)-1)&gt;right(tipp!S21,(len(tipp!S21)-find(":",tipp!S21))),1,if(right(tipp!S21,(len(tipp!S21)-find(":",tipp!S21)))&gt;left(tipp!S21,find(":",tipp!S21)-1),2,"x"))=tipp!$I21,tipp!$J21*pontozas!$B$1)+if(left(tipp!S21,find(":",tipp!S21)-1)-right(tipp!S21,(len(tipp!S21)-find(":",tipp!S21)))=tipp!$G21-tipp!$H21,pontozas!$B$2,0)+if(tipp!S21=tipp!$F21,pontozas!$B$3),""),"")</f>
        <v/>
      </c>
      <c r="K22" t="str">
        <f>if(K$1&lt;&gt;"",iferror(if(if(left(tipp!T21,find(":",tipp!T21)-1)&gt;right(tipp!T21,(len(tipp!T21)-find(":",tipp!T21))),1,if(right(tipp!T21,(len(tipp!T21)-find(":",tipp!T21)))&gt;left(tipp!T21,find(":",tipp!T21)-1),2,"x"))=tipp!$I21,tipp!$J21*pontozas!$B$1)+if(left(tipp!T21,find(":",tipp!T21)-1)-right(tipp!T21,(len(tipp!T21)-find(":",tipp!T21)))=tipp!$G21-tipp!$H21,pontozas!$B$2,0)+if(tipp!T21=tipp!$F21,pontozas!$B$3),""),"")</f>
        <v/>
      </c>
      <c r="L22" t="str">
        <f>if(L$1&lt;&gt;"",iferror(if(if(left(tipp!U21,find(":",tipp!U21)-1)&gt;right(tipp!U21,(len(tipp!U21)-find(":",tipp!U21))),1,if(right(tipp!U21,(len(tipp!U21)-find(":",tipp!U21)))&gt;left(tipp!U21,find(":",tipp!U21)-1),2,"x"))=tipp!$I21,tipp!$J21*pontozas!$B$1)+if(left(tipp!U21,find(":",tipp!U21)-1)-right(tipp!U21,(len(tipp!U21)-find(":",tipp!U21)))=tipp!$G21-tipp!$H21,pontozas!$B$2,0)+if(tipp!U21=tipp!$F21,pontozas!$B$3),""),"")</f>
        <v/>
      </c>
      <c r="M22" t="str">
        <f>if(M$1&lt;&gt;"",iferror(if(if(left(tipp!V21,find(":",tipp!V21)-1)&gt;right(tipp!V21,(len(tipp!V21)-find(":",tipp!V21))),1,if(right(tipp!V21,(len(tipp!V21)-find(":",tipp!V21)))&gt;left(tipp!V21,find(":",tipp!V21)-1),2,"x"))=tipp!$I21,tipp!$J21*pontozas!$B$1)+if(left(tipp!V21,find(":",tipp!V21)-1)-right(tipp!V21,(len(tipp!V21)-find(":",tipp!V21)))=tipp!$G21-tipp!$H21,pontozas!$B$2,0)+if(tipp!V21=tipp!$F21,pontozas!$B$3),""),"")</f>
        <v/>
      </c>
      <c r="N22" t="str">
        <f>if(N$1&lt;&gt;"",iferror(if(if(left(tipp!W21,find(":",tipp!W21)-1)&gt;right(tipp!W21,(len(tipp!W21)-find(":",tipp!W21))),1,if(right(tipp!W21,(len(tipp!W21)-find(":",tipp!W21)))&gt;left(tipp!W21,find(":",tipp!W21)-1),2,"x"))=tipp!$I21,tipp!$J21*pontozas!$B$1)+if(left(tipp!W21,find(":",tipp!W21)-1)-right(tipp!W21,(len(tipp!W21)-find(":",tipp!W21)))=tipp!$G21-tipp!$H21,pontozas!$B$2,0)+if(tipp!W21=tipp!$F21,pontozas!$B$3),""),"")</f>
        <v/>
      </c>
      <c r="O22" t="str">
        <f>if(O$1&lt;&gt;"",iferror(if(if(left(tipp!X21,find(":",tipp!X21)-1)&gt;right(tipp!X21,(len(tipp!X21)-find(":",tipp!X21))),1,if(right(tipp!X21,(len(tipp!X21)-find(":",tipp!X21)))&gt;left(tipp!X21,find(":",tipp!X21)-1),2,"x"))=tipp!$I21,tipp!$J21*pontozas!$B$1)+if(left(tipp!X21,find(":",tipp!X21)-1)-right(tipp!X21,(len(tipp!X21)-find(":",tipp!X21)))=tipp!$G21-tipp!$H21,pontozas!$B$2,0)+if(tipp!X21=tipp!$F21,pontozas!$B$3),""),"")</f>
        <v/>
      </c>
    </row>
    <row r="23">
      <c r="A23" t="str">
        <f>CONCATENATE(tipp!A22&amp;" : "&amp;tipp!B22)</f>
        <v>Sweden : France</v>
      </c>
      <c r="B23">
        <f>if(B$1&lt;&gt;"",iferror(if(if(left(tipp!K22,find(":",tipp!K22)-1)&gt;right(tipp!K22,(len(tipp!K22)-find(":",tipp!K22))),1,if(right(tipp!K22,(len(tipp!K22)-find(":",tipp!K22)))&gt;left(tipp!K22,find(":",tipp!K22)-1),2,"x"))=tipp!$I22,tipp!$J22*pontozas!$B$1)+if(left(tipp!K22,find(":",tipp!K22)-1)-right(tipp!K22,(len(tipp!K22)-find(":",tipp!K22)))=tipp!$G22-tipp!$H22,pontozas!$B$2,0)+if(tipp!K22=tipp!$F22,pontozas!$B$3),""),"")</f>
        <v>0</v>
      </c>
      <c r="C23">
        <f>if(C$1&lt;&gt;"",iferror(if(if(left(tipp!L22,find(":",tipp!L22)-1)&gt;right(tipp!L22,(len(tipp!L22)-find(":",tipp!L22))),1,if(right(tipp!L22,(len(tipp!L22)-find(":",tipp!L22)))&gt;left(tipp!L22,find(":",tipp!L22)-1),2,"x"))=tipp!$I22,tipp!$J22*pontozas!$B$1)+if(left(tipp!L22,find(":",tipp!L22)-1)-right(tipp!L22,(len(tipp!L22)-find(":",tipp!L22)))=tipp!$G22-tipp!$H22,pontozas!$B$2,0)+if(tipp!L22=tipp!$F22,pontozas!$B$3),""),"")</f>
        <v>1.09</v>
      </c>
      <c r="D23">
        <f>if(D$1&lt;&gt;"",iferror(if(if(left(tipp!M22,find(":",tipp!M22)-1)&gt;right(tipp!M22,(len(tipp!M22)-find(":",tipp!M22))),1,if(right(tipp!M22,(len(tipp!M22)-find(":",tipp!M22)))&gt;left(tipp!M22,find(":",tipp!M22)-1),2,"x"))=tipp!$I22,tipp!$J22*pontozas!$B$1)+if(left(tipp!M22,find(":",tipp!M22)-1)-right(tipp!M22,(len(tipp!M22)-find(":",tipp!M22)))=tipp!$G22-tipp!$H22,pontozas!$B$2,0)+if(tipp!M22=tipp!$F22,pontozas!$B$3),""),"")</f>
        <v>1.09</v>
      </c>
      <c r="E23">
        <f>if(E$1&lt;&gt;"",iferror(if(if(left(tipp!N22,find(":",tipp!N22)-1)&gt;right(tipp!N22,(len(tipp!N22)-find(":",tipp!N22))),1,if(right(tipp!N22,(len(tipp!N22)-find(":",tipp!N22)))&gt;left(tipp!N22,find(":",tipp!N22)-1),2,"x"))=tipp!$I22,tipp!$J22*pontozas!$B$1)+if(left(tipp!N22,find(":",tipp!N22)-1)-right(tipp!N22,(len(tipp!N22)-find(":",tipp!N22)))=tipp!$G22-tipp!$H22,pontozas!$B$2,0)+if(tipp!N22=tipp!$F22,pontozas!$B$3),""),"")</f>
        <v>1.09</v>
      </c>
      <c r="F23">
        <f>if(F$1&lt;&gt;"",iferror(if(if(left(tipp!O22,find(":",tipp!O22)-1)&gt;right(tipp!O22,(len(tipp!O22)-find(":",tipp!O22))),1,if(right(tipp!O22,(len(tipp!O22)-find(":",tipp!O22)))&gt;left(tipp!O22,find(":",tipp!O22)-1),2,"x"))=tipp!$I22,tipp!$J22*pontozas!$B$1)+if(left(tipp!O22,find(":",tipp!O22)-1)-right(tipp!O22,(len(tipp!O22)-find(":",tipp!O22)))=tipp!$G22-tipp!$H22,pontozas!$B$2,0)+if(tipp!O22=tipp!$F22,pontozas!$B$3),""),"")</f>
        <v>3.09</v>
      </c>
      <c r="G23" t="str">
        <f>if(G$1&lt;&gt;"",iferror(if(if(left(tipp!P22,find(":",tipp!P22)-1)&gt;right(tipp!P22,(len(tipp!P22)-find(":",tipp!P22))),1,if(right(tipp!P22,(len(tipp!P22)-find(":",tipp!P22)))&gt;left(tipp!P22,find(":",tipp!P22)-1),2,"x"))=tipp!$I22,tipp!$J22*pontozas!$B$1)+if(left(tipp!P22,find(":",tipp!P22)-1)-right(tipp!P22,(len(tipp!P22)-find(":",tipp!P22)))=tipp!$G22-tipp!$H22,pontozas!$B$2,0)+if(tipp!P22=tipp!$F22,pontozas!$B$3),""),"")</f>
        <v/>
      </c>
      <c r="H23">
        <f>if(H$1&lt;&gt;"",iferror(if(if(left(tipp!Q22,find(":",tipp!Q22)-1)&gt;right(tipp!Q22,(len(tipp!Q22)-find(":",tipp!Q22))),1,if(right(tipp!Q22,(len(tipp!Q22)-find(":",tipp!Q22)))&gt;left(tipp!Q22,find(":",tipp!Q22)-1),2,"x"))=tipp!$I22,tipp!$J22*pontozas!$B$1)+if(left(tipp!Q22,find(":",tipp!Q22)-1)-right(tipp!Q22,(len(tipp!Q22)-find(":",tipp!Q22)))=tipp!$G22-tipp!$H22,pontozas!$B$2,0)+if(tipp!Q22=tipp!$F22,pontozas!$B$3),""),"")</f>
        <v>1.09</v>
      </c>
      <c r="I23" t="str">
        <f>if(I$1&lt;&gt;"",iferror(if(if(left(tipp!R22,find(":",tipp!R22)-1)&gt;right(tipp!R22,(len(tipp!R22)-find(":",tipp!R22))),1,if(right(tipp!R22,(len(tipp!R22)-find(":",tipp!R22)))&gt;left(tipp!R22,find(":",tipp!R22)-1),2,"x"))=tipp!$I22,tipp!$J22*pontozas!$B$1)+if(left(tipp!R22,find(":",tipp!R22)-1)-right(tipp!R22,(len(tipp!R22)-find(":",tipp!R22)))=tipp!$G22-tipp!$H22,pontozas!$B$2,0)+if(tipp!R22=tipp!$F22,pontozas!$B$3),""),"")</f>
        <v/>
      </c>
      <c r="J23" t="str">
        <f>if(J$1&lt;&gt;"",iferror(if(if(left(tipp!S22,find(":",tipp!S22)-1)&gt;right(tipp!S22,(len(tipp!S22)-find(":",tipp!S22))),1,if(right(tipp!S22,(len(tipp!S22)-find(":",tipp!S22)))&gt;left(tipp!S22,find(":",tipp!S22)-1),2,"x"))=tipp!$I22,tipp!$J22*pontozas!$B$1)+if(left(tipp!S22,find(":",tipp!S22)-1)-right(tipp!S22,(len(tipp!S22)-find(":",tipp!S22)))=tipp!$G22-tipp!$H22,pontozas!$B$2,0)+if(tipp!S22=tipp!$F22,pontozas!$B$3),""),"")</f>
        <v/>
      </c>
      <c r="K23" t="str">
        <f>if(K$1&lt;&gt;"",iferror(if(if(left(tipp!T22,find(":",tipp!T22)-1)&gt;right(tipp!T22,(len(tipp!T22)-find(":",tipp!T22))),1,if(right(tipp!T22,(len(tipp!T22)-find(":",tipp!T22)))&gt;left(tipp!T22,find(":",tipp!T22)-1),2,"x"))=tipp!$I22,tipp!$J22*pontozas!$B$1)+if(left(tipp!T22,find(":",tipp!T22)-1)-right(tipp!T22,(len(tipp!T22)-find(":",tipp!T22)))=tipp!$G22-tipp!$H22,pontozas!$B$2,0)+if(tipp!T22=tipp!$F22,pontozas!$B$3),""),"")</f>
        <v/>
      </c>
      <c r="L23" t="str">
        <f>if(L$1&lt;&gt;"",iferror(if(if(left(tipp!U22,find(":",tipp!U22)-1)&gt;right(tipp!U22,(len(tipp!U22)-find(":",tipp!U22))),1,if(right(tipp!U22,(len(tipp!U22)-find(":",tipp!U22)))&gt;left(tipp!U22,find(":",tipp!U22)-1),2,"x"))=tipp!$I22,tipp!$J22*pontozas!$B$1)+if(left(tipp!U22,find(":",tipp!U22)-1)-right(tipp!U22,(len(tipp!U22)-find(":",tipp!U22)))=tipp!$G22-tipp!$H22,pontozas!$B$2,0)+if(tipp!U22=tipp!$F22,pontozas!$B$3),""),"")</f>
        <v/>
      </c>
      <c r="M23" t="str">
        <f>if(M$1&lt;&gt;"",iferror(if(if(left(tipp!V22,find(":",tipp!V22)-1)&gt;right(tipp!V22,(len(tipp!V22)-find(":",tipp!V22))),1,if(right(tipp!V22,(len(tipp!V22)-find(":",tipp!V22)))&gt;left(tipp!V22,find(":",tipp!V22)-1),2,"x"))=tipp!$I22,tipp!$J22*pontozas!$B$1)+if(left(tipp!V22,find(":",tipp!V22)-1)-right(tipp!V22,(len(tipp!V22)-find(":",tipp!V22)))=tipp!$G22-tipp!$H22,pontozas!$B$2,0)+if(tipp!V22=tipp!$F22,pontozas!$B$3),""),"")</f>
        <v/>
      </c>
      <c r="N23" t="str">
        <f>if(N$1&lt;&gt;"",iferror(if(if(left(tipp!W22,find(":",tipp!W22)-1)&gt;right(tipp!W22,(len(tipp!W22)-find(":",tipp!W22))),1,if(right(tipp!W22,(len(tipp!W22)-find(":",tipp!W22)))&gt;left(tipp!W22,find(":",tipp!W22)-1),2,"x"))=tipp!$I22,tipp!$J22*pontozas!$B$1)+if(left(tipp!W22,find(":",tipp!W22)-1)-right(tipp!W22,(len(tipp!W22)-find(":",tipp!W22)))=tipp!$G22-tipp!$H22,pontozas!$B$2,0)+if(tipp!W22=tipp!$F22,pontozas!$B$3),""),"")</f>
        <v/>
      </c>
      <c r="O23" t="str">
        <f>if(O$1&lt;&gt;"",iferror(if(if(left(tipp!X22,find(":",tipp!X22)-1)&gt;right(tipp!X22,(len(tipp!X22)-find(":",tipp!X22))),1,if(right(tipp!X22,(len(tipp!X22)-find(":",tipp!X22)))&gt;left(tipp!X22,find(":",tipp!X22)-1),2,"x"))=tipp!$I22,tipp!$J22*pontozas!$B$1)+if(left(tipp!X22,find(":",tipp!X22)-1)-right(tipp!X22,(len(tipp!X22)-find(":",tipp!X22)))=tipp!$G22-tipp!$H22,pontozas!$B$2,0)+if(tipp!X22=tipp!$F22,pontozas!$B$3),""),"")</f>
        <v/>
      </c>
    </row>
    <row r="24">
      <c r="A24" t="str">
        <f>CONCATENATE(tipp!A23&amp;" : "&amp;tipp!B23)</f>
        <v>United States : Germany</v>
      </c>
      <c r="B24">
        <f>if(B$1&lt;&gt;"",iferror(if(if(left(tipp!K23,find(":",tipp!K23)-1)&gt;right(tipp!K23,(len(tipp!K23)-find(":",tipp!K23))),1,if(right(tipp!K23,(len(tipp!K23)-find(":",tipp!K23)))&gt;left(tipp!K23,find(":",tipp!K23)-1),2,"x"))=tipp!$I23,tipp!$J23*pontozas!$B$1)+if(left(tipp!K23,find(":",tipp!K23)-1)-right(tipp!K23,(len(tipp!K23)-find(":",tipp!K23)))=tipp!$G23-tipp!$H23,pontozas!$B$2,0)+if(tipp!K23=tipp!$F23,pontozas!$B$3),""),"")</f>
        <v>2.5</v>
      </c>
      <c r="C24">
        <f>if(C$1&lt;&gt;"",iferror(if(if(left(tipp!L23,find(":",tipp!L23)-1)&gt;right(tipp!L23,(len(tipp!L23)-find(":",tipp!L23))),1,if(right(tipp!L23,(len(tipp!L23)-find(":",tipp!L23)))&gt;left(tipp!L23,find(":",tipp!L23)-1),2,"x"))=tipp!$I23,tipp!$J23*pontozas!$B$1)+if(left(tipp!L23,find(":",tipp!L23)-1)-right(tipp!L23,(len(tipp!L23)-find(":",tipp!L23)))=tipp!$G23-tipp!$H23,pontozas!$B$2,0)+if(tipp!L23=tipp!$F23,pontozas!$B$3),""),"")</f>
        <v>1.5</v>
      </c>
      <c r="D24">
        <f>if(D$1&lt;&gt;"",iferror(if(if(left(tipp!M23,find(":",tipp!M23)-1)&gt;right(tipp!M23,(len(tipp!M23)-find(":",tipp!M23))),1,if(right(tipp!M23,(len(tipp!M23)-find(":",tipp!M23)))&gt;left(tipp!M23,find(":",tipp!M23)-1),2,"x"))=tipp!$I23,tipp!$J23*pontozas!$B$1)+if(left(tipp!M23,find(":",tipp!M23)-1)-right(tipp!M23,(len(tipp!M23)-find(":",tipp!M23)))=tipp!$G23-tipp!$H23,pontozas!$B$2,0)+if(tipp!M23=tipp!$F23,pontozas!$B$3),""),"")</f>
        <v>2.5</v>
      </c>
      <c r="E24">
        <f>if(E$1&lt;&gt;"",iferror(if(if(left(tipp!N23,find(":",tipp!N23)-1)&gt;right(tipp!N23,(len(tipp!N23)-find(":",tipp!N23))),1,if(right(tipp!N23,(len(tipp!N23)-find(":",tipp!N23)))&gt;left(tipp!N23,find(":",tipp!N23)-1),2,"x"))=tipp!$I23,tipp!$J23*pontozas!$B$1)+if(left(tipp!N23,find(":",tipp!N23)-1)-right(tipp!N23,(len(tipp!N23)-find(":",tipp!N23)))=tipp!$G23-tipp!$H23,pontozas!$B$2,0)+if(tipp!N23=tipp!$F23,pontozas!$B$3),""),"")</f>
        <v>2.5</v>
      </c>
      <c r="F24">
        <f>if(F$1&lt;&gt;"",iferror(if(if(left(tipp!O23,find(":",tipp!O23)-1)&gt;right(tipp!O23,(len(tipp!O23)-find(":",tipp!O23))),1,if(right(tipp!O23,(len(tipp!O23)-find(":",tipp!O23)))&gt;left(tipp!O23,find(":",tipp!O23)-1),2,"x"))=tipp!$I23,tipp!$J23*pontozas!$B$1)+if(left(tipp!O23,find(":",tipp!O23)-1)-right(tipp!O23,(len(tipp!O23)-find(":",tipp!O23)))=tipp!$G23-tipp!$H23,pontozas!$B$2,0)+if(tipp!O23=tipp!$F23,pontozas!$B$3),""),"")</f>
        <v>1.5</v>
      </c>
      <c r="G24" t="str">
        <f>if(G$1&lt;&gt;"",iferror(if(if(left(tipp!P23,find(":",tipp!P23)-1)&gt;right(tipp!P23,(len(tipp!P23)-find(":",tipp!P23))),1,if(right(tipp!P23,(len(tipp!P23)-find(":",tipp!P23)))&gt;left(tipp!P23,find(":",tipp!P23)-1),2,"x"))=tipp!$I23,tipp!$J23*pontozas!$B$1)+if(left(tipp!P23,find(":",tipp!P23)-1)-right(tipp!P23,(len(tipp!P23)-find(":",tipp!P23)))=tipp!$G23-tipp!$H23,pontozas!$B$2,0)+if(tipp!P23=tipp!$F23,pontozas!$B$3),""),"")</f>
        <v/>
      </c>
      <c r="H24">
        <f>if(H$1&lt;&gt;"",iferror(if(if(left(tipp!Q23,find(":",tipp!Q23)-1)&gt;right(tipp!Q23,(len(tipp!Q23)-find(":",tipp!Q23))),1,if(right(tipp!Q23,(len(tipp!Q23)-find(":",tipp!Q23)))&gt;left(tipp!Q23,find(":",tipp!Q23)-1),2,"x"))=tipp!$I23,tipp!$J23*pontozas!$B$1)+if(left(tipp!Q23,find(":",tipp!Q23)-1)-right(tipp!Q23,(len(tipp!Q23)-find(":",tipp!Q23)))=tipp!$G23-tipp!$H23,pontozas!$B$2,0)+if(tipp!Q23=tipp!$F23,pontozas!$B$3),""),"")</f>
        <v>2.5</v>
      </c>
      <c r="I24" t="str">
        <f>if(I$1&lt;&gt;"",iferror(if(if(left(tipp!R23,find(":",tipp!R23)-1)&gt;right(tipp!R23,(len(tipp!R23)-find(":",tipp!R23))),1,if(right(tipp!R23,(len(tipp!R23)-find(":",tipp!R23)))&gt;left(tipp!R23,find(":",tipp!R23)-1),2,"x"))=tipp!$I23,tipp!$J23*pontozas!$B$1)+if(left(tipp!R23,find(":",tipp!R23)-1)-right(tipp!R23,(len(tipp!R23)-find(":",tipp!R23)))=tipp!$G23-tipp!$H23,pontozas!$B$2,0)+if(tipp!R23=tipp!$F23,pontozas!$B$3),""),"")</f>
        <v/>
      </c>
      <c r="J24" t="str">
        <f>if(J$1&lt;&gt;"",iferror(if(if(left(tipp!S23,find(":",tipp!S23)-1)&gt;right(tipp!S23,(len(tipp!S23)-find(":",tipp!S23))),1,if(right(tipp!S23,(len(tipp!S23)-find(":",tipp!S23)))&gt;left(tipp!S23,find(":",tipp!S23)-1),2,"x"))=tipp!$I23,tipp!$J23*pontozas!$B$1)+if(left(tipp!S23,find(":",tipp!S23)-1)-right(tipp!S23,(len(tipp!S23)-find(":",tipp!S23)))=tipp!$G23-tipp!$H23,pontozas!$B$2,0)+if(tipp!S23=tipp!$F23,pontozas!$B$3),""),"")</f>
        <v/>
      </c>
      <c r="K24" t="str">
        <f>if(K$1&lt;&gt;"",iferror(if(if(left(tipp!T23,find(":",tipp!T23)-1)&gt;right(tipp!T23,(len(tipp!T23)-find(":",tipp!T23))),1,if(right(tipp!T23,(len(tipp!T23)-find(":",tipp!T23)))&gt;left(tipp!T23,find(":",tipp!T23)-1),2,"x"))=tipp!$I23,tipp!$J23*pontozas!$B$1)+if(left(tipp!T23,find(":",tipp!T23)-1)-right(tipp!T23,(len(tipp!T23)-find(":",tipp!T23)))=tipp!$G23-tipp!$H23,pontozas!$B$2,0)+if(tipp!T23=tipp!$F23,pontozas!$B$3),""),"")</f>
        <v/>
      </c>
      <c r="L24" t="str">
        <f>if(L$1&lt;&gt;"",iferror(if(if(left(tipp!U23,find(":",tipp!U23)-1)&gt;right(tipp!U23,(len(tipp!U23)-find(":",tipp!U23))),1,if(right(tipp!U23,(len(tipp!U23)-find(":",tipp!U23)))&gt;left(tipp!U23,find(":",tipp!U23)-1),2,"x"))=tipp!$I23,tipp!$J23*pontozas!$B$1)+if(left(tipp!U23,find(":",tipp!U23)-1)-right(tipp!U23,(len(tipp!U23)-find(":",tipp!U23)))=tipp!$G23-tipp!$H23,pontozas!$B$2,0)+if(tipp!U23=tipp!$F23,pontozas!$B$3),""),"")</f>
        <v/>
      </c>
      <c r="M24" t="str">
        <f>if(M$1&lt;&gt;"",iferror(if(if(left(tipp!V23,find(":",tipp!V23)-1)&gt;right(tipp!V23,(len(tipp!V23)-find(":",tipp!V23))),1,if(right(tipp!V23,(len(tipp!V23)-find(":",tipp!V23)))&gt;left(tipp!V23,find(":",tipp!V23)-1),2,"x"))=tipp!$I23,tipp!$J23*pontozas!$B$1)+if(left(tipp!V23,find(":",tipp!V23)-1)-right(tipp!V23,(len(tipp!V23)-find(":",tipp!V23)))=tipp!$G23-tipp!$H23,pontozas!$B$2,0)+if(tipp!V23=tipp!$F23,pontozas!$B$3),""),"")</f>
        <v/>
      </c>
      <c r="N24" t="str">
        <f>if(N$1&lt;&gt;"",iferror(if(if(left(tipp!W23,find(":",tipp!W23)-1)&gt;right(tipp!W23,(len(tipp!W23)-find(":",tipp!W23))),1,if(right(tipp!W23,(len(tipp!W23)-find(":",tipp!W23)))&gt;left(tipp!W23,find(":",tipp!W23)-1),2,"x"))=tipp!$I23,tipp!$J23*pontozas!$B$1)+if(left(tipp!W23,find(":",tipp!W23)-1)-right(tipp!W23,(len(tipp!W23)-find(":",tipp!W23)))=tipp!$G23-tipp!$H23,pontozas!$B$2,0)+if(tipp!W23=tipp!$F23,pontozas!$B$3),""),"")</f>
        <v/>
      </c>
      <c r="O24" t="str">
        <f>if(O$1&lt;&gt;"",iferror(if(if(left(tipp!X23,find(":",tipp!X23)-1)&gt;right(tipp!X23,(len(tipp!X23)-find(":",tipp!X23))),1,if(right(tipp!X23,(len(tipp!X23)-find(":",tipp!X23)))&gt;left(tipp!X23,find(":",tipp!X23)-1),2,"x"))=tipp!$I23,tipp!$J23*pontozas!$B$1)+if(left(tipp!X23,find(":",tipp!X23)-1)-right(tipp!X23,(len(tipp!X23)-find(":",tipp!X23)))=tipp!$G23-tipp!$H23,pontozas!$B$2,0)+if(tipp!X23=tipp!$F23,pontozas!$B$3),""),"")</f>
        <v/>
      </c>
    </row>
    <row r="25">
      <c r="A25" t="str">
        <f>CONCATENATE(tipp!A24&amp;" : "&amp;tipp!B24)</f>
        <v>Canada : Denmark</v>
      </c>
      <c r="B25">
        <f>if(B$1&lt;&gt;"",iferror(if(if(left(tipp!K24,find(":",tipp!K24)-1)&gt;right(tipp!K24,(len(tipp!K24)-find(":",tipp!K24))),1,if(right(tipp!K24,(len(tipp!K24)-find(":",tipp!K24)))&gt;left(tipp!K24,find(":",tipp!K24)-1),2,"x"))=tipp!$I24,tipp!$J24*pontozas!$B$1)+if(left(tipp!K24,find(":",tipp!K24)-1)-right(tipp!K24,(len(tipp!K24)-find(":",tipp!K24)))=tipp!$G24-tipp!$H24,pontozas!$B$2,0)+if(tipp!K24=tipp!$F24,pontozas!$B$3),""),"")</f>
        <v>1.11</v>
      </c>
      <c r="C25">
        <f>if(C$1&lt;&gt;"",iferror(if(if(left(tipp!L24,find(":",tipp!L24)-1)&gt;right(tipp!L24,(len(tipp!L24)-find(":",tipp!L24))),1,if(right(tipp!L24,(len(tipp!L24)-find(":",tipp!L24)))&gt;left(tipp!L24,find(":",tipp!L24)-1),2,"x"))=tipp!$I24,tipp!$J24*pontozas!$B$1)+if(left(tipp!L24,find(":",tipp!L24)-1)-right(tipp!L24,(len(tipp!L24)-find(":",tipp!L24)))=tipp!$G24-tipp!$H24,pontozas!$B$2,0)+if(tipp!L24=tipp!$F24,pontozas!$B$3),""),"")</f>
        <v>3.11</v>
      </c>
      <c r="D25">
        <f>if(D$1&lt;&gt;"",iferror(if(if(left(tipp!M24,find(":",tipp!M24)-1)&gt;right(tipp!M24,(len(tipp!M24)-find(":",tipp!M24))),1,if(right(tipp!M24,(len(tipp!M24)-find(":",tipp!M24)))&gt;left(tipp!M24,find(":",tipp!M24)-1),2,"x"))=tipp!$I24,tipp!$J24*pontozas!$B$1)+if(left(tipp!M24,find(":",tipp!M24)-1)-right(tipp!M24,(len(tipp!M24)-find(":",tipp!M24)))=tipp!$G24-tipp!$H24,pontozas!$B$2,0)+if(tipp!M24=tipp!$F24,pontozas!$B$3),""),"")</f>
        <v>1.11</v>
      </c>
      <c r="E25">
        <f>if(E$1&lt;&gt;"",iferror(if(if(left(tipp!N24,find(":",tipp!N24)-1)&gt;right(tipp!N24,(len(tipp!N24)-find(":",tipp!N24))),1,if(right(tipp!N24,(len(tipp!N24)-find(":",tipp!N24)))&gt;left(tipp!N24,find(":",tipp!N24)-1),2,"x"))=tipp!$I24,tipp!$J24*pontozas!$B$1)+if(left(tipp!N24,find(":",tipp!N24)-1)-right(tipp!N24,(len(tipp!N24)-find(":",tipp!N24)))=tipp!$G24-tipp!$H24,pontozas!$B$2,0)+if(tipp!N24=tipp!$F24,pontozas!$B$3),""),"")</f>
        <v>2.11</v>
      </c>
      <c r="F25">
        <f>if(F$1&lt;&gt;"",iferror(if(if(left(tipp!O24,find(":",tipp!O24)-1)&gt;right(tipp!O24,(len(tipp!O24)-find(":",tipp!O24))),1,if(right(tipp!O24,(len(tipp!O24)-find(":",tipp!O24)))&gt;left(tipp!O24,find(":",tipp!O24)-1),2,"x"))=tipp!$I24,tipp!$J24*pontozas!$B$1)+if(left(tipp!O24,find(":",tipp!O24)-1)-right(tipp!O24,(len(tipp!O24)-find(":",tipp!O24)))=tipp!$G24-tipp!$H24,pontozas!$B$2,0)+if(tipp!O24=tipp!$F24,pontozas!$B$3),""),"")</f>
        <v>1.11</v>
      </c>
      <c r="G25" t="str">
        <f>if(G$1&lt;&gt;"",iferror(if(if(left(tipp!P24,find(":",tipp!P24)-1)&gt;right(tipp!P24,(len(tipp!P24)-find(":",tipp!P24))),1,if(right(tipp!P24,(len(tipp!P24)-find(":",tipp!P24)))&gt;left(tipp!P24,find(":",tipp!P24)-1),2,"x"))=tipp!$I24,tipp!$J24*pontozas!$B$1)+if(left(tipp!P24,find(":",tipp!P24)-1)-right(tipp!P24,(len(tipp!P24)-find(":",tipp!P24)))=tipp!$G24-tipp!$H24,pontozas!$B$2,0)+if(tipp!P24=tipp!$F24,pontozas!$B$3),""),"")</f>
        <v/>
      </c>
      <c r="H25">
        <f>if(H$1&lt;&gt;"",iferror(if(if(left(tipp!Q24,find(":",tipp!Q24)-1)&gt;right(tipp!Q24,(len(tipp!Q24)-find(":",tipp!Q24))),1,if(right(tipp!Q24,(len(tipp!Q24)-find(":",tipp!Q24)))&gt;left(tipp!Q24,find(":",tipp!Q24)-1),2,"x"))=tipp!$I24,tipp!$J24*pontozas!$B$1)+if(left(tipp!Q24,find(":",tipp!Q24)-1)-right(tipp!Q24,(len(tipp!Q24)-find(":",tipp!Q24)))=tipp!$G24-tipp!$H24,pontozas!$B$2,0)+if(tipp!Q24=tipp!$F24,pontozas!$B$3),""),"")</f>
        <v>2.11</v>
      </c>
      <c r="I25" t="str">
        <f>if(I$1&lt;&gt;"",iferror(if(if(left(tipp!R24,find(":",tipp!R24)-1)&gt;right(tipp!R24,(len(tipp!R24)-find(":",tipp!R24))),1,if(right(tipp!R24,(len(tipp!R24)-find(":",tipp!R24)))&gt;left(tipp!R24,find(":",tipp!R24)-1),2,"x"))=tipp!$I24,tipp!$J24*pontozas!$B$1)+if(left(tipp!R24,find(":",tipp!R24)-1)-right(tipp!R24,(len(tipp!R24)-find(":",tipp!R24)))=tipp!$G24-tipp!$H24,pontozas!$B$2,0)+if(tipp!R24=tipp!$F24,pontozas!$B$3),""),"")</f>
        <v/>
      </c>
      <c r="J25" t="str">
        <f>if(J$1&lt;&gt;"",iferror(if(if(left(tipp!S24,find(":",tipp!S24)-1)&gt;right(tipp!S24,(len(tipp!S24)-find(":",tipp!S24))),1,if(right(tipp!S24,(len(tipp!S24)-find(":",tipp!S24)))&gt;left(tipp!S24,find(":",tipp!S24)-1),2,"x"))=tipp!$I24,tipp!$J24*pontozas!$B$1)+if(left(tipp!S24,find(":",tipp!S24)-1)-right(tipp!S24,(len(tipp!S24)-find(":",tipp!S24)))=tipp!$G24-tipp!$H24,pontozas!$B$2,0)+if(tipp!S24=tipp!$F24,pontozas!$B$3),""),"")</f>
        <v/>
      </c>
      <c r="K25" t="str">
        <f>if(K$1&lt;&gt;"",iferror(if(if(left(tipp!T24,find(":",tipp!T24)-1)&gt;right(tipp!T24,(len(tipp!T24)-find(":",tipp!T24))),1,if(right(tipp!T24,(len(tipp!T24)-find(":",tipp!T24)))&gt;left(tipp!T24,find(":",tipp!T24)-1),2,"x"))=tipp!$I24,tipp!$J24*pontozas!$B$1)+if(left(tipp!T24,find(":",tipp!T24)-1)-right(tipp!T24,(len(tipp!T24)-find(":",tipp!T24)))=tipp!$G24-tipp!$H24,pontozas!$B$2,0)+if(tipp!T24=tipp!$F24,pontozas!$B$3),""),"")</f>
        <v/>
      </c>
      <c r="L25" t="str">
        <f>if(L$1&lt;&gt;"",iferror(if(if(left(tipp!U24,find(":",tipp!U24)-1)&gt;right(tipp!U24,(len(tipp!U24)-find(":",tipp!U24))),1,if(right(tipp!U24,(len(tipp!U24)-find(":",tipp!U24)))&gt;left(tipp!U24,find(":",tipp!U24)-1),2,"x"))=tipp!$I24,tipp!$J24*pontozas!$B$1)+if(left(tipp!U24,find(":",tipp!U24)-1)-right(tipp!U24,(len(tipp!U24)-find(":",tipp!U24)))=tipp!$G24-tipp!$H24,pontozas!$B$2,0)+if(tipp!U24=tipp!$F24,pontozas!$B$3),""),"")</f>
        <v/>
      </c>
      <c r="M25" t="str">
        <f>if(M$1&lt;&gt;"",iferror(if(if(left(tipp!V24,find(":",tipp!V24)-1)&gt;right(tipp!V24,(len(tipp!V24)-find(":",tipp!V24))),1,if(right(tipp!V24,(len(tipp!V24)-find(":",tipp!V24)))&gt;left(tipp!V24,find(":",tipp!V24)-1),2,"x"))=tipp!$I24,tipp!$J24*pontozas!$B$1)+if(left(tipp!V24,find(":",tipp!V24)-1)-right(tipp!V24,(len(tipp!V24)-find(":",tipp!V24)))=tipp!$G24-tipp!$H24,pontozas!$B$2,0)+if(tipp!V24=tipp!$F24,pontozas!$B$3),""),"")</f>
        <v/>
      </c>
      <c r="N25" t="str">
        <f>if(N$1&lt;&gt;"",iferror(if(if(left(tipp!W24,find(":",tipp!W24)-1)&gt;right(tipp!W24,(len(tipp!W24)-find(":",tipp!W24))),1,if(right(tipp!W24,(len(tipp!W24)-find(":",tipp!W24)))&gt;left(tipp!W24,find(":",tipp!W24)-1),2,"x"))=tipp!$I24,tipp!$J24*pontozas!$B$1)+if(left(tipp!W24,find(":",tipp!W24)-1)-right(tipp!W24,(len(tipp!W24)-find(":",tipp!W24)))=tipp!$G24-tipp!$H24,pontozas!$B$2,0)+if(tipp!W24=tipp!$F24,pontozas!$B$3),""),"")</f>
        <v/>
      </c>
      <c r="O25" t="str">
        <f>if(O$1&lt;&gt;"",iferror(if(if(left(tipp!X24,find(":",tipp!X24)-1)&gt;right(tipp!X24,(len(tipp!X24)-find(":",tipp!X24))),1,if(right(tipp!X24,(len(tipp!X24)-find(":",tipp!X24)))&gt;left(tipp!X24,find(":",tipp!X24)-1),2,"x"))=tipp!$I24,tipp!$J24*pontozas!$B$1)+if(left(tipp!X24,find(":",tipp!X24)-1)-right(tipp!X24,(len(tipp!X24)-find(":",tipp!X24)))=tipp!$G24-tipp!$H24,pontozas!$B$2,0)+if(tipp!X24=tipp!$F24,pontozas!$B$3),""),"")</f>
        <v/>
      </c>
    </row>
    <row r="26">
      <c r="A26" t="str">
        <f>CONCATENATE(tipp!A25&amp;" : "&amp;tipp!B25)</f>
        <v>Austria : Slovakia</v>
      </c>
      <c r="B26">
        <f>if(B$1&lt;&gt;"",iferror(if(if(left(tipp!K25,find(":",tipp!K25)-1)&gt;right(tipp!K25,(len(tipp!K25)-find(":",tipp!K25))),1,if(right(tipp!K25,(len(tipp!K25)-find(":",tipp!K25)))&gt;left(tipp!K25,find(":",tipp!K25)-1),2,"x"))=tipp!$I25,tipp!$J25*pontozas!$B$1)+if(left(tipp!K25,find(":",tipp!K25)-1)-right(tipp!K25,(len(tipp!K25)-find(":",tipp!K25)))=tipp!$G25-tipp!$H25,pontozas!$B$2,0)+if(tipp!K25=tipp!$F25,pontozas!$B$3),""),"")</f>
        <v>0</v>
      </c>
      <c r="C26">
        <f>if(C$1&lt;&gt;"",iferror(if(if(left(tipp!L25,find(":",tipp!L25)-1)&gt;right(tipp!L25,(len(tipp!L25)-find(":",tipp!L25))),1,if(right(tipp!L25,(len(tipp!L25)-find(":",tipp!L25)))&gt;left(tipp!L25,find(":",tipp!L25)-1),2,"x"))=tipp!$I25,tipp!$J25*pontozas!$B$1)+if(left(tipp!L25,find(":",tipp!L25)-1)-right(tipp!L25,(len(tipp!L25)-find(":",tipp!L25)))=tipp!$G25-tipp!$H25,pontozas!$B$2,0)+if(tipp!L25=tipp!$F25,pontozas!$B$3),""),"")</f>
        <v>0</v>
      </c>
      <c r="D26">
        <f>if(D$1&lt;&gt;"",iferror(if(if(left(tipp!M25,find(":",tipp!M25)-1)&gt;right(tipp!M25,(len(tipp!M25)-find(":",tipp!M25))),1,if(right(tipp!M25,(len(tipp!M25)-find(":",tipp!M25)))&gt;left(tipp!M25,find(":",tipp!M25)-1),2,"x"))=tipp!$I25,tipp!$J25*pontozas!$B$1)+if(left(tipp!M25,find(":",tipp!M25)-1)-right(tipp!M25,(len(tipp!M25)-find(":",tipp!M25)))=tipp!$G25-tipp!$H25,pontozas!$B$2,0)+if(tipp!M25=tipp!$F25,pontozas!$B$3),""),"")</f>
        <v>2.36</v>
      </c>
      <c r="E26">
        <f>if(E$1&lt;&gt;"",iferror(if(if(left(tipp!N25,find(":",tipp!N25)-1)&gt;right(tipp!N25,(len(tipp!N25)-find(":",tipp!N25))),1,if(right(tipp!N25,(len(tipp!N25)-find(":",tipp!N25)))&gt;left(tipp!N25,find(":",tipp!N25)-1),2,"x"))=tipp!$I25,tipp!$J25*pontozas!$B$1)+if(left(tipp!N25,find(":",tipp!N25)-1)-right(tipp!N25,(len(tipp!N25)-find(":",tipp!N25)))=tipp!$G25-tipp!$H25,pontozas!$B$2,0)+if(tipp!N25=tipp!$F25,pontozas!$B$3),""),"")</f>
        <v>0</v>
      </c>
      <c r="F26">
        <f>if(F$1&lt;&gt;"",iferror(if(if(left(tipp!O25,find(":",tipp!O25)-1)&gt;right(tipp!O25,(len(tipp!O25)-find(":",tipp!O25))),1,if(right(tipp!O25,(len(tipp!O25)-find(":",tipp!O25)))&gt;left(tipp!O25,find(":",tipp!O25)-1),2,"x"))=tipp!$I25,tipp!$J25*pontozas!$B$1)+if(left(tipp!O25,find(":",tipp!O25)-1)-right(tipp!O25,(len(tipp!O25)-find(":",tipp!O25)))=tipp!$G25-tipp!$H25,pontozas!$B$2,0)+if(tipp!O25=tipp!$F25,pontozas!$B$3),""),"")</f>
        <v>1.36</v>
      </c>
      <c r="G26" t="str">
        <f>if(G$1&lt;&gt;"",iferror(if(if(left(tipp!P25,find(":",tipp!P25)-1)&gt;right(tipp!P25,(len(tipp!P25)-find(":",tipp!P25))),1,if(right(tipp!P25,(len(tipp!P25)-find(":",tipp!P25)))&gt;left(tipp!P25,find(":",tipp!P25)-1),2,"x"))=tipp!$I25,tipp!$J25*pontozas!$B$1)+if(left(tipp!P25,find(":",tipp!P25)-1)-right(tipp!P25,(len(tipp!P25)-find(":",tipp!P25)))=tipp!$G25-tipp!$H25,pontozas!$B$2,0)+if(tipp!P25=tipp!$F25,pontozas!$B$3),""),"")</f>
        <v/>
      </c>
      <c r="H26">
        <f>if(H$1&lt;&gt;"",iferror(if(if(left(tipp!Q25,find(":",tipp!Q25)-1)&gt;right(tipp!Q25,(len(tipp!Q25)-find(":",tipp!Q25))),1,if(right(tipp!Q25,(len(tipp!Q25)-find(":",tipp!Q25)))&gt;left(tipp!Q25,find(":",tipp!Q25)-1),2,"x"))=tipp!$I25,tipp!$J25*pontozas!$B$1)+if(left(tipp!Q25,find(":",tipp!Q25)-1)-right(tipp!Q25,(len(tipp!Q25)-find(":",tipp!Q25)))=tipp!$G25-tipp!$H25,pontozas!$B$2,0)+if(tipp!Q25=tipp!$F25,pontozas!$B$3),""),"")</f>
        <v>1.36</v>
      </c>
      <c r="I26" t="str">
        <f>if(I$1&lt;&gt;"",iferror(if(if(left(tipp!R25,find(":",tipp!R25)-1)&gt;right(tipp!R25,(len(tipp!R25)-find(":",tipp!R25))),1,if(right(tipp!R25,(len(tipp!R25)-find(":",tipp!R25)))&gt;left(tipp!R25,find(":",tipp!R25)-1),2,"x"))=tipp!$I25,tipp!$J25*pontozas!$B$1)+if(left(tipp!R25,find(":",tipp!R25)-1)-right(tipp!R25,(len(tipp!R25)-find(":",tipp!R25)))=tipp!$G25-tipp!$H25,pontozas!$B$2,0)+if(tipp!R25=tipp!$F25,pontozas!$B$3),""),"")</f>
        <v/>
      </c>
      <c r="J26" t="str">
        <f>if(J$1&lt;&gt;"",iferror(if(if(left(tipp!S25,find(":",tipp!S25)-1)&gt;right(tipp!S25,(len(tipp!S25)-find(":",tipp!S25))),1,if(right(tipp!S25,(len(tipp!S25)-find(":",tipp!S25)))&gt;left(tipp!S25,find(":",tipp!S25)-1),2,"x"))=tipp!$I25,tipp!$J25*pontozas!$B$1)+if(left(tipp!S25,find(":",tipp!S25)-1)-right(tipp!S25,(len(tipp!S25)-find(":",tipp!S25)))=tipp!$G25-tipp!$H25,pontozas!$B$2,0)+if(tipp!S25=tipp!$F25,pontozas!$B$3),""),"")</f>
        <v/>
      </c>
      <c r="K26" t="str">
        <f>if(K$1&lt;&gt;"",iferror(if(if(left(tipp!T25,find(":",tipp!T25)-1)&gt;right(tipp!T25,(len(tipp!T25)-find(":",tipp!T25))),1,if(right(tipp!T25,(len(tipp!T25)-find(":",tipp!T25)))&gt;left(tipp!T25,find(":",tipp!T25)-1),2,"x"))=tipp!$I25,tipp!$J25*pontozas!$B$1)+if(left(tipp!T25,find(":",tipp!T25)-1)-right(tipp!T25,(len(tipp!T25)-find(":",tipp!T25)))=tipp!$G25-tipp!$H25,pontozas!$B$2,0)+if(tipp!T25=tipp!$F25,pontozas!$B$3),""),"")</f>
        <v/>
      </c>
      <c r="L26" t="str">
        <f>if(L$1&lt;&gt;"",iferror(if(if(left(tipp!U25,find(":",tipp!U25)-1)&gt;right(tipp!U25,(len(tipp!U25)-find(":",tipp!U25))),1,if(right(tipp!U25,(len(tipp!U25)-find(":",tipp!U25)))&gt;left(tipp!U25,find(":",tipp!U25)-1),2,"x"))=tipp!$I25,tipp!$J25*pontozas!$B$1)+if(left(tipp!U25,find(":",tipp!U25)-1)-right(tipp!U25,(len(tipp!U25)-find(":",tipp!U25)))=tipp!$G25-tipp!$H25,pontozas!$B$2,0)+if(tipp!U25=tipp!$F25,pontozas!$B$3),""),"")</f>
        <v/>
      </c>
      <c r="M26" t="str">
        <f>if(M$1&lt;&gt;"",iferror(if(if(left(tipp!V25,find(":",tipp!V25)-1)&gt;right(tipp!V25,(len(tipp!V25)-find(":",tipp!V25))),1,if(right(tipp!V25,(len(tipp!V25)-find(":",tipp!V25)))&gt;left(tipp!V25,find(":",tipp!V25)-1),2,"x"))=tipp!$I25,tipp!$J25*pontozas!$B$1)+if(left(tipp!V25,find(":",tipp!V25)-1)-right(tipp!V25,(len(tipp!V25)-find(":",tipp!V25)))=tipp!$G25-tipp!$H25,pontozas!$B$2,0)+if(tipp!V25=tipp!$F25,pontozas!$B$3),""),"")</f>
        <v/>
      </c>
      <c r="N26" t="str">
        <f>if(N$1&lt;&gt;"",iferror(if(if(left(tipp!W25,find(":",tipp!W25)-1)&gt;right(tipp!W25,(len(tipp!W25)-find(":",tipp!W25))),1,if(right(tipp!W25,(len(tipp!W25)-find(":",tipp!W25)))&gt;left(tipp!W25,find(":",tipp!W25)-1),2,"x"))=tipp!$I25,tipp!$J25*pontozas!$B$1)+if(left(tipp!W25,find(":",tipp!W25)-1)-right(tipp!W25,(len(tipp!W25)-find(":",tipp!W25)))=tipp!$G25-tipp!$H25,pontozas!$B$2,0)+if(tipp!W25=tipp!$F25,pontozas!$B$3),""),"")</f>
        <v/>
      </c>
      <c r="O26" t="str">
        <f>if(O$1&lt;&gt;"",iferror(if(if(left(tipp!X25,find(":",tipp!X25)-1)&gt;right(tipp!X25,(len(tipp!X25)-find(":",tipp!X25))),1,if(right(tipp!X25,(len(tipp!X25)-find(":",tipp!X25)))&gt;left(tipp!X25,find(":",tipp!X25)-1),2,"x"))=tipp!$I25,tipp!$J25*pontozas!$B$1)+if(left(tipp!X25,find(":",tipp!X25)-1)-right(tipp!X25,(len(tipp!X25)-find(":",tipp!X25)))=tipp!$G25-tipp!$H25,pontozas!$B$2,0)+if(tipp!X25=tipp!$F25,pontozas!$B$3),""),"")</f>
        <v/>
      </c>
    </row>
    <row r="27">
      <c r="A27" t="str">
        <f>CONCATENATE(tipp!A26&amp;" : "&amp;tipp!B26)</f>
        <v>Czech Republic : Switzerland</v>
      </c>
      <c r="B27">
        <f>if(B$1&lt;&gt;"",iferror(if(if(left(tipp!K26,find(":",tipp!K26)-1)&gt;right(tipp!K26,(len(tipp!K26)-find(":",tipp!K26))),1,if(right(tipp!K26,(len(tipp!K26)-find(":",tipp!K26)))&gt;left(tipp!K26,find(":",tipp!K26)-1),2,"x"))=tipp!$I26,tipp!$J26*pontozas!$B$1)+if(left(tipp!K26,find(":",tipp!K26)-1)-right(tipp!K26,(len(tipp!K26)-find(":",tipp!K26)))=tipp!$G26-tipp!$H26,pontozas!$B$2,0)+if(tipp!K26=tipp!$F26,pontozas!$B$3),""),"")</f>
        <v>0</v>
      </c>
      <c r="C27">
        <f>if(C$1&lt;&gt;"",iferror(if(if(left(tipp!L26,find(":",tipp!L26)-1)&gt;right(tipp!L26,(len(tipp!L26)-find(":",tipp!L26))),1,if(right(tipp!L26,(len(tipp!L26)-find(":",tipp!L26)))&gt;left(tipp!L26,find(":",tipp!L26)-1),2,"x"))=tipp!$I26,tipp!$J26*pontozas!$B$1)+if(left(tipp!L26,find(":",tipp!L26)-1)-right(tipp!L26,(len(tipp!L26)-find(":",tipp!L26)))=tipp!$G26-tipp!$H26,pontozas!$B$2,0)+if(tipp!L26=tipp!$F26,pontozas!$B$3),""),"")</f>
        <v>5.5</v>
      </c>
      <c r="D27">
        <f>if(D$1&lt;&gt;"",iferror(if(if(left(tipp!M26,find(":",tipp!M26)-1)&gt;right(tipp!M26,(len(tipp!M26)-find(":",tipp!M26))),1,if(right(tipp!M26,(len(tipp!M26)-find(":",tipp!M26)))&gt;left(tipp!M26,find(":",tipp!M26)-1),2,"x"))=tipp!$I26,tipp!$J26*pontozas!$B$1)+if(left(tipp!M26,find(":",tipp!M26)-1)-right(tipp!M26,(len(tipp!M26)-find(":",tipp!M26)))=tipp!$G26-tipp!$H26,pontozas!$B$2,0)+if(tipp!M26=tipp!$F26,pontozas!$B$3),""),"")</f>
        <v>0</v>
      </c>
      <c r="E27">
        <f>if(E$1&lt;&gt;"",iferror(if(if(left(tipp!N26,find(":",tipp!N26)-1)&gt;right(tipp!N26,(len(tipp!N26)-find(":",tipp!N26))),1,if(right(tipp!N26,(len(tipp!N26)-find(":",tipp!N26)))&gt;left(tipp!N26,find(":",tipp!N26)-1),2,"x"))=tipp!$I26,tipp!$J26*pontozas!$B$1)+if(left(tipp!N26,find(":",tipp!N26)-1)-right(tipp!N26,(len(tipp!N26)-find(":",tipp!N26)))=tipp!$G26-tipp!$H26,pontozas!$B$2,0)+if(tipp!N26=tipp!$F26,pontozas!$B$3),""),"")</f>
        <v>0</v>
      </c>
      <c r="F27">
        <f>if(F$1&lt;&gt;"",iferror(if(if(left(tipp!O26,find(":",tipp!O26)-1)&gt;right(tipp!O26,(len(tipp!O26)-find(":",tipp!O26))),1,if(right(tipp!O26,(len(tipp!O26)-find(":",tipp!O26)))&gt;left(tipp!O26,find(":",tipp!O26)-1),2,"x"))=tipp!$I26,tipp!$J26*pontozas!$B$1)+if(left(tipp!O26,find(":",tipp!O26)-1)-right(tipp!O26,(len(tipp!O26)-find(":",tipp!O26)))=tipp!$G26-tipp!$H26,pontozas!$B$2,0)+if(tipp!O26=tipp!$F26,pontozas!$B$3),""),"")</f>
        <v>5.5</v>
      </c>
      <c r="G27" t="str">
        <f>if(G$1&lt;&gt;"",iferror(if(if(left(tipp!P26,find(":",tipp!P26)-1)&gt;right(tipp!P26,(len(tipp!P26)-find(":",tipp!P26))),1,if(right(tipp!P26,(len(tipp!P26)-find(":",tipp!P26)))&gt;left(tipp!P26,find(":",tipp!P26)-1),2,"x"))=tipp!$I26,tipp!$J26*pontozas!$B$1)+if(left(tipp!P26,find(":",tipp!P26)-1)-right(tipp!P26,(len(tipp!P26)-find(":",tipp!P26)))=tipp!$G26-tipp!$H26,pontozas!$B$2,0)+if(tipp!P26=tipp!$F26,pontozas!$B$3),""),"")</f>
        <v/>
      </c>
      <c r="H27">
        <f>if(H$1&lt;&gt;"",iferror(if(if(left(tipp!Q26,find(":",tipp!Q26)-1)&gt;right(tipp!Q26,(len(tipp!Q26)-find(":",tipp!Q26))),1,if(right(tipp!Q26,(len(tipp!Q26)-find(":",tipp!Q26)))&gt;left(tipp!Q26,find(":",tipp!Q26)-1),2,"x"))=tipp!$I26,tipp!$J26*pontozas!$B$1)+if(left(tipp!Q26,find(":",tipp!Q26)-1)-right(tipp!Q26,(len(tipp!Q26)-find(":",tipp!Q26)))=tipp!$G26-tipp!$H26,pontozas!$B$2,0)+if(tipp!Q26=tipp!$F26,pontozas!$B$3),""),"")</f>
        <v>0</v>
      </c>
      <c r="I27" t="str">
        <f>if(I$1&lt;&gt;"",iferror(if(if(left(tipp!R26,find(":",tipp!R26)-1)&gt;right(tipp!R26,(len(tipp!R26)-find(":",tipp!R26))),1,if(right(tipp!R26,(len(tipp!R26)-find(":",tipp!R26)))&gt;left(tipp!R26,find(":",tipp!R26)-1),2,"x"))=tipp!$I26,tipp!$J26*pontozas!$B$1)+if(left(tipp!R26,find(":",tipp!R26)-1)-right(tipp!R26,(len(tipp!R26)-find(":",tipp!R26)))=tipp!$G26-tipp!$H26,pontozas!$B$2,0)+if(tipp!R26=tipp!$F26,pontozas!$B$3),""),"")</f>
        <v/>
      </c>
      <c r="J27" t="str">
        <f>if(J$1&lt;&gt;"",iferror(if(if(left(tipp!S26,find(":",tipp!S26)-1)&gt;right(tipp!S26,(len(tipp!S26)-find(":",tipp!S26))),1,if(right(tipp!S26,(len(tipp!S26)-find(":",tipp!S26)))&gt;left(tipp!S26,find(":",tipp!S26)-1),2,"x"))=tipp!$I26,tipp!$J26*pontozas!$B$1)+if(left(tipp!S26,find(":",tipp!S26)-1)-right(tipp!S26,(len(tipp!S26)-find(":",tipp!S26)))=tipp!$G26-tipp!$H26,pontozas!$B$2,0)+if(tipp!S26=tipp!$F26,pontozas!$B$3),""),"")</f>
        <v/>
      </c>
      <c r="K27" t="str">
        <f>if(K$1&lt;&gt;"",iferror(if(if(left(tipp!T26,find(":",tipp!T26)-1)&gt;right(tipp!T26,(len(tipp!T26)-find(":",tipp!T26))),1,if(right(tipp!T26,(len(tipp!T26)-find(":",tipp!T26)))&gt;left(tipp!T26,find(":",tipp!T26)-1),2,"x"))=tipp!$I26,tipp!$J26*pontozas!$B$1)+if(left(tipp!T26,find(":",tipp!T26)-1)-right(tipp!T26,(len(tipp!T26)-find(":",tipp!T26)))=tipp!$G26-tipp!$H26,pontozas!$B$2,0)+if(tipp!T26=tipp!$F26,pontozas!$B$3),""),"")</f>
        <v/>
      </c>
      <c r="L27" t="str">
        <f>if(L$1&lt;&gt;"",iferror(if(if(left(tipp!U26,find(":",tipp!U26)-1)&gt;right(tipp!U26,(len(tipp!U26)-find(":",tipp!U26))),1,if(right(tipp!U26,(len(tipp!U26)-find(":",tipp!U26)))&gt;left(tipp!U26,find(":",tipp!U26)-1),2,"x"))=tipp!$I26,tipp!$J26*pontozas!$B$1)+if(left(tipp!U26,find(":",tipp!U26)-1)-right(tipp!U26,(len(tipp!U26)-find(":",tipp!U26)))=tipp!$G26-tipp!$H26,pontozas!$B$2,0)+if(tipp!U26=tipp!$F26,pontozas!$B$3),""),"")</f>
        <v/>
      </c>
      <c r="M27" t="str">
        <f>if(M$1&lt;&gt;"",iferror(if(if(left(tipp!V26,find(":",tipp!V26)-1)&gt;right(tipp!V26,(len(tipp!V26)-find(":",tipp!V26))),1,if(right(tipp!V26,(len(tipp!V26)-find(":",tipp!V26)))&gt;left(tipp!V26,find(":",tipp!V26)-1),2,"x"))=tipp!$I26,tipp!$J26*pontozas!$B$1)+if(left(tipp!V26,find(":",tipp!V26)-1)-right(tipp!V26,(len(tipp!V26)-find(":",tipp!V26)))=tipp!$G26-tipp!$H26,pontozas!$B$2,0)+if(tipp!V26=tipp!$F26,pontozas!$B$3),""),"")</f>
        <v/>
      </c>
      <c r="N27" t="str">
        <f>if(N$1&lt;&gt;"",iferror(if(if(left(tipp!W26,find(":",tipp!W26)-1)&gt;right(tipp!W26,(len(tipp!W26)-find(":",tipp!W26))),1,if(right(tipp!W26,(len(tipp!W26)-find(":",tipp!W26)))&gt;left(tipp!W26,find(":",tipp!W26)-1),2,"x"))=tipp!$I26,tipp!$J26*pontozas!$B$1)+if(left(tipp!W26,find(":",tipp!W26)-1)-right(tipp!W26,(len(tipp!W26)-find(":",tipp!W26)))=tipp!$G26-tipp!$H26,pontozas!$B$2,0)+if(tipp!W26=tipp!$F26,pontozas!$B$3),""),"")</f>
        <v/>
      </c>
      <c r="O27" t="str">
        <f>if(O$1&lt;&gt;"",iferror(if(if(left(tipp!X26,find(":",tipp!X26)-1)&gt;right(tipp!X26,(len(tipp!X26)-find(":",tipp!X26))),1,if(right(tipp!X26,(len(tipp!X26)-find(":",tipp!X26)))&gt;left(tipp!X26,find(":",tipp!X26)-1),2,"x"))=tipp!$I26,tipp!$J26*pontozas!$B$1)+if(left(tipp!X26,find(":",tipp!X26)-1)-right(tipp!X26,(len(tipp!X26)-find(":",tipp!X26)))=tipp!$G26-tipp!$H26,pontozas!$B$2,0)+if(tipp!X26=tipp!$F26,pontozas!$B$3),""),"")</f>
        <v/>
      </c>
    </row>
    <row r="28">
      <c r="A28" t="str">
        <f>CONCATENATE(tipp!A27&amp;" : "&amp;tipp!B27)</f>
        <v>South Korea : Latvia</v>
      </c>
      <c r="B28">
        <f>if(B$1&lt;&gt;"",iferror(if(if(left(tipp!K27,find(":",tipp!K27)-1)&gt;right(tipp!K27,(len(tipp!K27)-find(":",tipp!K27))),1,if(right(tipp!K27,(len(tipp!K27)-find(":",tipp!K27)))&gt;left(tipp!K27,find(":",tipp!K27)-1),2,"x"))=tipp!$I27,tipp!$J27*pontozas!$B$1)+if(left(tipp!K27,find(":",tipp!K27)-1)-right(tipp!K27,(len(tipp!K27)-find(":",tipp!K27)))=tipp!$G27-tipp!$H27,pontozas!$B$2,0)+if(tipp!K27=tipp!$F27,pontozas!$B$3),""),"")</f>
        <v>1.4</v>
      </c>
      <c r="C28">
        <f>if(C$1&lt;&gt;"",iferror(if(if(left(tipp!L27,find(":",tipp!L27)-1)&gt;right(tipp!L27,(len(tipp!L27)-find(":",tipp!L27))),1,if(right(tipp!L27,(len(tipp!L27)-find(":",tipp!L27)))&gt;left(tipp!L27,find(":",tipp!L27)-1),2,"x"))=tipp!$I27,tipp!$J27*pontozas!$B$1)+if(left(tipp!L27,find(":",tipp!L27)-1)-right(tipp!L27,(len(tipp!L27)-find(":",tipp!L27)))=tipp!$G27-tipp!$H27,pontozas!$B$2,0)+if(tipp!L27=tipp!$F27,pontozas!$B$3),""),"")</f>
        <v>1.4</v>
      </c>
      <c r="D28">
        <f>if(D$1&lt;&gt;"",iferror(if(if(left(tipp!M27,find(":",tipp!M27)-1)&gt;right(tipp!M27,(len(tipp!M27)-find(":",tipp!M27))),1,if(right(tipp!M27,(len(tipp!M27)-find(":",tipp!M27)))&gt;left(tipp!M27,find(":",tipp!M27)-1),2,"x"))=tipp!$I27,tipp!$J27*pontozas!$B$1)+if(left(tipp!M27,find(":",tipp!M27)-1)-right(tipp!M27,(len(tipp!M27)-find(":",tipp!M27)))=tipp!$G27-tipp!$H27,pontozas!$B$2,0)+if(tipp!M27=tipp!$F27,pontozas!$B$3),""),"")</f>
        <v>1.4</v>
      </c>
      <c r="E28">
        <f>if(E$1&lt;&gt;"",iferror(if(if(left(tipp!N27,find(":",tipp!N27)-1)&gt;right(tipp!N27,(len(tipp!N27)-find(":",tipp!N27))),1,if(right(tipp!N27,(len(tipp!N27)-find(":",tipp!N27)))&gt;left(tipp!N27,find(":",tipp!N27)-1),2,"x"))=tipp!$I27,tipp!$J27*pontozas!$B$1)+if(left(tipp!N27,find(":",tipp!N27)-1)-right(tipp!N27,(len(tipp!N27)-find(":",tipp!N27)))=tipp!$G27-tipp!$H27,pontozas!$B$2,0)+if(tipp!N27=tipp!$F27,pontozas!$B$3),""),"")</f>
        <v>1.4</v>
      </c>
      <c r="F28">
        <f>if(F$1&lt;&gt;"",iferror(if(if(left(tipp!O27,find(":",tipp!O27)-1)&gt;right(tipp!O27,(len(tipp!O27)-find(":",tipp!O27))),1,if(right(tipp!O27,(len(tipp!O27)-find(":",tipp!O27)))&gt;left(tipp!O27,find(":",tipp!O27)-1),2,"x"))=tipp!$I27,tipp!$J27*pontozas!$B$1)+if(left(tipp!O27,find(":",tipp!O27)-1)-right(tipp!O27,(len(tipp!O27)-find(":",tipp!O27)))=tipp!$G27-tipp!$H27,pontozas!$B$2,0)+if(tipp!O27=tipp!$F27,pontozas!$B$3),""),"")</f>
        <v>1.4</v>
      </c>
      <c r="G28" t="str">
        <f>if(G$1&lt;&gt;"",iferror(if(if(left(tipp!P27,find(":",tipp!P27)-1)&gt;right(tipp!P27,(len(tipp!P27)-find(":",tipp!P27))),1,if(right(tipp!P27,(len(tipp!P27)-find(":",tipp!P27)))&gt;left(tipp!P27,find(":",tipp!P27)-1),2,"x"))=tipp!$I27,tipp!$J27*pontozas!$B$1)+if(left(tipp!P27,find(":",tipp!P27)-1)-right(tipp!P27,(len(tipp!P27)-find(":",tipp!P27)))=tipp!$G27-tipp!$H27,pontozas!$B$2,0)+if(tipp!P27=tipp!$F27,pontozas!$B$3),""),"")</f>
        <v/>
      </c>
      <c r="H28">
        <f>if(H$1&lt;&gt;"",iferror(if(if(left(tipp!Q27,find(":",tipp!Q27)-1)&gt;right(tipp!Q27,(len(tipp!Q27)-find(":",tipp!Q27))),1,if(right(tipp!Q27,(len(tipp!Q27)-find(":",tipp!Q27)))&gt;left(tipp!Q27,find(":",tipp!Q27)-1),2,"x"))=tipp!$I27,tipp!$J27*pontozas!$B$1)+if(left(tipp!Q27,find(":",tipp!Q27)-1)-right(tipp!Q27,(len(tipp!Q27)-find(":",tipp!Q27)))=tipp!$G27-tipp!$H27,pontozas!$B$2,0)+if(tipp!Q27=tipp!$F27,pontozas!$B$3),""),"")</f>
        <v>1.4</v>
      </c>
      <c r="I28" t="str">
        <f>if(I$1&lt;&gt;"",iferror(if(if(left(tipp!R27,find(":",tipp!R27)-1)&gt;right(tipp!R27,(len(tipp!R27)-find(":",tipp!R27))),1,if(right(tipp!R27,(len(tipp!R27)-find(":",tipp!R27)))&gt;left(tipp!R27,find(":",tipp!R27)-1),2,"x"))=tipp!$I27,tipp!$J27*pontozas!$B$1)+if(left(tipp!R27,find(":",tipp!R27)-1)-right(tipp!R27,(len(tipp!R27)-find(":",tipp!R27)))=tipp!$G27-tipp!$H27,pontozas!$B$2,0)+if(tipp!R27=tipp!$F27,pontozas!$B$3),""),"")</f>
        <v/>
      </c>
      <c r="J28" t="str">
        <f>if(J$1&lt;&gt;"",iferror(if(if(left(tipp!S27,find(":",tipp!S27)-1)&gt;right(tipp!S27,(len(tipp!S27)-find(":",tipp!S27))),1,if(right(tipp!S27,(len(tipp!S27)-find(":",tipp!S27)))&gt;left(tipp!S27,find(":",tipp!S27)-1),2,"x"))=tipp!$I27,tipp!$J27*pontozas!$B$1)+if(left(tipp!S27,find(":",tipp!S27)-1)-right(tipp!S27,(len(tipp!S27)-find(":",tipp!S27)))=tipp!$G27-tipp!$H27,pontozas!$B$2,0)+if(tipp!S27=tipp!$F27,pontozas!$B$3),""),"")</f>
        <v/>
      </c>
      <c r="K28" t="str">
        <f>if(K$1&lt;&gt;"",iferror(if(if(left(tipp!T27,find(":",tipp!T27)-1)&gt;right(tipp!T27,(len(tipp!T27)-find(":",tipp!T27))),1,if(right(tipp!T27,(len(tipp!T27)-find(":",tipp!T27)))&gt;left(tipp!T27,find(":",tipp!T27)-1),2,"x"))=tipp!$I27,tipp!$J27*pontozas!$B$1)+if(left(tipp!T27,find(":",tipp!T27)-1)-right(tipp!T27,(len(tipp!T27)-find(":",tipp!T27)))=tipp!$G27-tipp!$H27,pontozas!$B$2,0)+if(tipp!T27=tipp!$F27,pontozas!$B$3),""),"")</f>
        <v/>
      </c>
      <c r="L28" t="str">
        <f>if(L$1&lt;&gt;"",iferror(if(if(left(tipp!U27,find(":",tipp!U27)-1)&gt;right(tipp!U27,(len(tipp!U27)-find(":",tipp!U27))),1,if(right(tipp!U27,(len(tipp!U27)-find(":",tipp!U27)))&gt;left(tipp!U27,find(":",tipp!U27)-1),2,"x"))=tipp!$I27,tipp!$J27*pontozas!$B$1)+if(left(tipp!U27,find(":",tipp!U27)-1)-right(tipp!U27,(len(tipp!U27)-find(":",tipp!U27)))=tipp!$G27-tipp!$H27,pontozas!$B$2,0)+if(tipp!U27=tipp!$F27,pontozas!$B$3),""),"")</f>
        <v/>
      </c>
      <c r="M28" t="str">
        <f>if(M$1&lt;&gt;"",iferror(if(if(left(tipp!V27,find(":",tipp!V27)-1)&gt;right(tipp!V27,(len(tipp!V27)-find(":",tipp!V27))),1,if(right(tipp!V27,(len(tipp!V27)-find(":",tipp!V27)))&gt;left(tipp!V27,find(":",tipp!V27)-1),2,"x"))=tipp!$I27,tipp!$J27*pontozas!$B$1)+if(left(tipp!V27,find(":",tipp!V27)-1)-right(tipp!V27,(len(tipp!V27)-find(":",tipp!V27)))=tipp!$G27-tipp!$H27,pontozas!$B$2,0)+if(tipp!V27=tipp!$F27,pontozas!$B$3),""),"")</f>
        <v/>
      </c>
      <c r="N28" t="str">
        <f>if(N$1&lt;&gt;"",iferror(if(if(left(tipp!W27,find(":",tipp!W27)-1)&gt;right(tipp!W27,(len(tipp!W27)-find(":",tipp!W27))),1,if(right(tipp!W27,(len(tipp!W27)-find(":",tipp!W27)))&gt;left(tipp!W27,find(":",tipp!W27)-1),2,"x"))=tipp!$I27,tipp!$J27*pontozas!$B$1)+if(left(tipp!W27,find(":",tipp!W27)-1)-right(tipp!W27,(len(tipp!W27)-find(":",tipp!W27)))=tipp!$G27-tipp!$H27,pontozas!$B$2,0)+if(tipp!W27=tipp!$F27,pontozas!$B$3),""),"")</f>
        <v/>
      </c>
      <c r="O28" t="str">
        <f>if(O$1&lt;&gt;"",iferror(if(if(left(tipp!X27,find(":",tipp!X27)-1)&gt;right(tipp!X27,(len(tipp!X27)-find(":",tipp!X27))),1,if(right(tipp!X27,(len(tipp!X27)-find(":",tipp!X27)))&gt;left(tipp!X27,find(":",tipp!X27)-1),2,"x"))=tipp!$I27,tipp!$J27*pontozas!$B$1)+if(left(tipp!X27,find(":",tipp!X27)-1)-right(tipp!X27,(len(tipp!X27)-find(":",tipp!X27)))=tipp!$G27-tipp!$H27,pontozas!$B$2,0)+if(tipp!X27=tipp!$F27,pontozas!$B$3),""),"")</f>
        <v/>
      </c>
    </row>
    <row r="29">
      <c r="A29" t="str">
        <f>CONCATENATE(tipp!A28&amp;" : "&amp;tipp!B28)</f>
        <v>Finland : Norway</v>
      </c>
      <c r="B29">
        <f>if(B$1&lt;&gt;"",iferror(if(if(left(tipp!K28,find(":",tipp!K28)-1)&gt;right(tipp!K28,(len(tipp!K28)-find(":",tipp!K28))),1,if(right(tipp!K28,(len(tipp!K28)-find(":",tipp!K28)))&gt;left(tipp!K28,find(":",tipp!K28)-1),2,"x"))=tipp!$I28,tipp!$J28*pontozas!$B$1)+if(left(tipp!K28,find(":",tipp!K28)-1)-right(tipp!K28,(len(tipp!K28)-find(":",tipp!K28)))=tipp!$G28-tipp!$H28,pontozas!$B$2,0)+if(tipp!K28=tipp!$F28,pontozas!$B$3),""),"")</f>
        <v>1.33</v>
      </c>
      <c r="C29">
        <f>if(C$1&lt;&gt;"",iferror(if(if(left(tipp!L28,find(":",tipp!L28)-1)&gt;right(tipp!L28,(len(tipp!L28)-find(":",tipp!L28))),1,if(right(tipp!L28,(len(tipp!L28)-find(":",tipp!L28)))&gt;left(tipp!L28,find(":",tipp!L28)-1),2,"x"))=tipp!$I28,tipp!$J28*pontozas!$B$1)+if(left(tipp!L28,find(":",tipp!L28)-1)-right(tipp!L28,(len(tipp!L28)-find(":",tipp!L28)))=tipp!$G28-tipp!$H28,pontozas!$B$2,0)+if(tipp!L28=tipp!$F28,pontozas!$B$3),""),"")</f>
        <v>1.33</v>
      </c>
      <c r="D29">
        <f>if(D$1&lt;&gt;"",iferror(if(if(left(tipp!M28,find(":",tipp!M28)-1)&gt;right(tipp!M28,(len(tipp!M28)-find(":",tipp!M28))),1,if(right(tipp!M28,(len(tipp!M28)-find(":",tipp!M28)))&gt;left(tipp!M28,find(":",tipp!M28)-1),2,"x"))=tipp!$I28,tipp!$J28*pontozas!$B$1)+if(left(tipp!M28,find(":",tipp!M28)-1)-right(tipp!M28,(len(tipp!M28)-find(":",tipp!M28)))=tipp!$G28-tipp!$H28,pontozas!$B$2,0)+if(tipp!M28=tipp!$F28,pontozas!$B$3),""),"")</f>
        <v>1.33</v>
      </c>
      <c r="E29">
        <f>if(E$1&lt;&gt;"",iferror(if(if(left(tipp!N28,find(":",tipp!N28)-1)&gt;right(tipp!N28,(len(tipp!N28)-find(":",tipp!N28))),1,if(right(tipp!N28,(len(tipp!N28)-find(":",tipp!N28)))&gt;left(tipp!N28,find(":",tipp!N28)-1),2,"x"))=tipp!$I28,tipp!$J28*pontozas!$B$1)+if(left(tipp!N28,find(":",tipp!N28)-1)-right(tipp!N28,(len(tipp!N28)-find(":",tipp!N28)))=tipp!$G28-tipp!$H28,pontozas!$B$2,0)+if(tipp!N28=tipp!$F28,pontozas!$B$3),""),"")</f>
        <v>1.33</v>
      </c>
      <c r="F29">
        <f>if(F$1&lt;&gt;"",iferror(if(if(left(tipp!O28,find(":",tipp!O28)-1)&gt;right(tipp!O28,(len(tipp!O28)-find(":",tipp!O28))),1,if(right(tipp!O28,(len(tipp!O28)-find(":",tipp!O28)))&gt;left(tipp!O28,find(":",tipp!O28)-1),2,"x"))=tipp!$I28,tipp!$J28*pontozas!$B$1)+if(left(tipp!O28,find(":",tipp!O28)-1)-right(tipp!O28,(len(tipp!O28)-find(":",tipp!O28)))=tipp!$G28-tipp!$H28,pontozas!$B$2,0)+if(tipp!O28=tipp!$F28,pontozas!$B$3),""),"")</f>
        <v>1.33</v>
      </c>
      <c r="G29" t="str">
        <f>if(G$1&lt;&gt;"",iferror(if(if(left(tipp!P28,find(":",tipp!P28)-1)&gt;right(tipp!P28,(len(tipp!P28)-find(":",tipp!P28))),1,if(right(tipp!P28,(len(tipp!P28)-find(":",tipp!P28)))&gt;left(tipp!P28,find(":",tipp!P28)-1),2,"x"))=tipp!$I28,tipp!$J28*pontozas!$B$1)+if(left(tipp!P28,find(":",tipp!P28)-1)-right(tipp!P28,(len(tipp!P28)-find(":",tipp!P28)))=tipp!$G28-tipp!$H28,pontozas!$B$2,0)+if(tipp!P28=tipp!$F28,pontozas!$B$3),""),"")</f>
        <v/>
      </c>
      <c r="H29">
        <f>if(H$1&lt;&gt;"",iferror(if(if(left(tipp!Q28,find(":",tipp!Q28)-1)&gt;right(tipp!Q28,(len(tipp!Q28)-find(":",tipp!Q28))),1,if(right(tipp!Q28,(len(tipp!Q28)-find(":",tipp!Q28)))&gt;left(tipp!Q28,find(":",tipp!Q28)-1),2,"x"))=tipp!$I28,tipp!$J28*pontozas!$B$1)+if(left(tipp!Q28,find(":",tipp!Q28)-1)-right(tipp!Q28,(len(tipp!Q28)-find(":",tipp!Q28)))=tipp!$G28-tipp!$H28,pontozas!$B$2,0)+if(tipp!Q28=tipp!$F28,pontozas!$B$3),""),"")</f>
        <v>1.33</v>
      </c>
      <c r="I29" t="str">
        <f>if(I$1&lt;&gt;"",iferror(if(if(left(tipp!R28,find(":",tipp!R28)-1)&gt;right(tipp!R28,(len(tipp!R28)-find(":",tipp!R28))),1,if(right(tipp!R28,(len(tipp!R28)-find(":",tipp!R28)))&gt;left(tipp!R28,find(":",tipp!R28)-1),2,"x"))=tipp!$I28,tipp!$J28*pontozas!$B$1)+if(left(tipp!R28,find(":",tipp!R28)-1)-right(tipp!R28,(len(tipp!R28)-find(":",tipp!R28)))=tipp!$G28-tipp!$H28,pontozas!$B$2,0)+if(tipp!R28=tipp!$F28,pontozas!$B$3),""),"")</f>
        <v/>
      </c>
      <c r="J29" t="str">
        <f>if(J$1&lt;&gt;"",iferror(if(if(left(tipp!S28,find(":",tipp!S28)-1)&gt;right(tipp!S28,(len(tipp!S28)-find(":",tipp!S28))),1,if(right(tipp!S28,(len(tipp!S28)-find(":",tipp!S28)))&gt;left(tipp!S28,find(":",tipp!S28)-1),2,"x"))=tipp!$I28,tipp!$J28*pontozas!$B$1)+if(left(tipp!S28,find(":",tipp!S28)-1)-right(tipp!S28,(len(tipp!S28)-find(":",tipp!S28)))=tipp!$G28-tipp!$H28,pontozas!$B$2,0)+if(tipp!S28=tipp!$F28,pontozas!$B$3),""),"")</f>
        <v/>
      </c>
      <c r="K29" t="str">
        <f>if(K$1&lt;&gt;"",iferror(if(if(left(tipp!T28,find(":",tipp!T28)-1)&gt;right(tipp!T28,(len(tipp!T28)-find(":",tipp!T28))),1,if(right(tipp!T28,(len(tipp!T28)-find(":",tipp!T28)))&gt;left(tipp!T28,find(":",tipp!T28)-1),2,"x"))=tipp!$I28,tipp!$J28*pontozas!$B$1)+if(left(tipp!T28,find(":",tipp!T28)-1)-right(tipp!T28,(len(tipp!T28)-find(":",tipp!T28)))=tipp!$G28-tipp!$H28,pontozas!$B$2,0)+if(tipp!T28=tipp!$F28,pontozas!$B$3),""),"")</f>
        <v/>
      </c>
      <c r="L29" t="str">
        <f>if(L$1&lt;&gt;"",iferror(if(if(left(tipp!U28,find(":",tipp!U28)-1)&gt;right(tipp!U28,(len(tipp!U28)-find(":",tipp!U28))),1,if(right(tipp!U28,(len(tipp!U28)-find(":",tipp!U28)))&gt;left(tipp!U28,find(":",tipp!U28)-1),2,"x"))=tipp!$I28,tipp!$J28*pontozas!$B$1)+if(left(tipp!U28,find(":",tipp!U28)-1)-right(tipp!U28,(len(tipp!U28)-find(":",tipp!U28)))=tipp!$G28-tipp!$H28,pontozas!$B$2,0)+if(tipp!U28=tipp!$F28,pontozas!$B$3),""),"")</f>
        <v/>
      </c>
      <c r="M29" t="str">
        <f>if(M$1&lt;&gt;"",iferror(if(if(left(tipp!V28,find(":",tipp!V28)-1)&gt;right(tipp!V28,(len(tipp!V28)-find(":",tipp!V28))),1,if(right(tipp!V28,(len(tipp!V28)-find(":",tipp!V28)))&gt;left(tipp!V28,find(":",tipp!V28)-1),2,"x"))=tipp!$I28,tipp!$J28*pontozas!$B$1)+if(left(tipp!V28,find(":",tipp!V28)-1)-right(tipp!V28,(len(tipp!V28)-find(":",tipp!V28)))=tipp!$G28-tipp!$H28,pontozas!$B$2,0)+if(tipp!V28=tipp!$F28,pontozas!$B$3),""),"")</f>
        <v/>
      </c>
      <c r="N29" t="str">
        <f>if(N$1&lt;&gt;"",iferror(if(if(left(tipp!W28,find(":",tipp!W28)-1)&gt;right(tipp!W28,(len(tipp!W28)-find(":",tipp!W28))),1,if(right(tipp!W28,(len(tipp!W28)-find(":",tipp!W28)))&gt;left(tipp!W28,find(":",tipp!W28)-1),2,"x"))=tipp!$I28,tipp!$J28*pontozas!$B$1)+if(left(tipp!W28,find(":",tipp!W28)-1)-right(tipp!W28,(len(tipp!W28)-find(":",tipp!W28)))=tipp!$G28-tipp!$H28,pontozas!$B$2,0)+if(tipp!W28=tipp!$F28,pontozas!$B$3),""),"")</f>
        <v/>
      </c>
      <c r="O29" t="str">
        <f>if(O$1&lt;&gt;"",iferror(if(if(left(tipp!X28,find(":",tipp!X28)-1)&gt;right(tipp!X28,(len(tipp!X28)-find(":",tipp!X28))),1,if(right(tipp!X28,(len(tipp!X28)-find(":",tipp!X28)))&gt;left(tipp!X28,find(":",tipp!X28)-1),2,"x"))=tipp!$I28,tipp!$J28*pontozas!$B$1)+if(left(tipp!X28,find(":",tipp!X28)-1)-right(tipp!X28,(len(tipp!X28)-find(":",tipp!X28)))=tipp!$G28-tipp!$H28,pontozas!$B$2,0)+if(tipp!X28=tipp!$F28,pontozas!$B$3),""),"")</f>
        <v/>
      </c>
    </row>
    <row r="30">
      <c r="A30" t="str">
        <f>CONCATENATE(tipp!A29&amp;" : "&amp;tipp!B29)</f>
        <v>Switzerland : Belarus</v>
      </c>
      <c r="B30">
        <f>if(B$1&lt;&gt;"",iferror(if(if(left(tipp!K29,find(":",tipp!K29)-1)&gt;right(tipp!K29,(len(tipp!K29)-find(":",tipp!K29))),1,if(right(tipp!K29,(len(tipp!K29)-find(":",tipp!K29)))&gt;left(tipp!K29,find(":",tipp!K29)-1),2,"x"))=tipp!$I29,tipp!$J29*pontozas!$B$1)+if(left(tipp!K29,find(":",tipp!K29)-1)-right(tipp!K29,(len(tipp!K29)-find(":",tipp!K29)))=tipp!$G29-tipp!$H29,pontozas!$B$2,0)+if(tipp!K29=tipp!$F29,pontozas!$B$3),""),"")</f>
        <v>2.7</v>
      </c>
      <c r="C30">
        <f>if(C$1&lt;&gt;"",iferror(if(if(left(tipp!L29,find(":",tipp!L29)-1)&gt;right(tipp!L29,(len(tipp!L29)-find(":",tipp!L29))),1,if(right(tipp!L29,(len(tipp!L29)-find(":",tipp!L29)))&gt;left(tipp!L29,find(":",tipp!L29)-1),2,"x"))=tipp!$I29,tipp!$J29*pontozas!$B$1)+if(left(tipp!L29,find(":",tipp!L29)-1)-right(tipp!L29,(len(tipp!L29)-find(":",tipp!L29)))=tipp!$G29-tipp!$H29,pontozas!$B$2,0)+if(tipp!L29=tipp!$F29,pontozas!$B$3),""),"")</f>
        <v>1.7</v>
      </c>
      <c r="D30">
        <f>if(D$1&lt;&gt;"",iferror(if(if(left(tipp!M29,find(":",tipp!M29)-1)&gt;right(tipp!M29,(len(tipp!M29)-find(":",tipp!M29))),1,if(right(tipp!M29,(len(tipp!M29)-find(":",tipp!M29)))&gt;left(tipp!M29,find(":",tipp!M29)-1),2,"x"))=tipp!$I29,tipp!$J29*pontozas!$B$1)+if(left(tipp!M29,find(":",tipp!M29)-1)-right(tipp!M29,(len(tipp!M29)-find(":",tipp!M29)))=tipp!$G29-tipp!$H29,pontozas!$B$2,0)+if(tipp!M29=tipp!$F29,pontozas!$B$3),""),"")</f>
        <v>1.7</v>
      </c>
      <c r="E30">
        <f>if(E$1&lt;&gt;"",iferror(if(if(left(tipp!N29,find(":",tipp!N29)-1)&gt;right(tipp!N29,(len(tipp!N29)-find(":",tipp!N29))),1,if(right(tipp!N29,(len(tipp!N29)-find(":",tipp!N29)))&gt;left(tipp!N29,find(":",tipp!N29)-1),2,"x"))=tipp!$I29,tipp!$J29*pontozas!$B$1)+if(left(tipp!N29,find(":",tipp!N29)-1)-right(tipp!N29,(len(tipp!N29)-find(":",tipp!N29)))=tipp!$G29-tipp!$H29,pontozas!$B$2,0)+if(tipp!N29=tipp!$F29,pontozas!$B$3),""),"")</f>
        <v>2.7</v>
      </c>
      <c r="F30">
        <f>if(F$1&lt;&gt;"",iferror(if(if(left(tipp!O29,find(":",tipp!O29)-1)&gt;right(tipp!O29,(len(tipp!O29)-find(":",tipp!O29))),1,if(right(tipp!O29,(len(tipp!O29)-find(":",tipp!O29)))&gt;left(tipp!O29,find(":",tipp!O29)-1),2,"x"))=tipp!$I29,tipp!$J29*pontozas!$B$1)+if(left(tipp!O29,find(":",tipp!O29)-1)-right(tipp!O29,(len(tipp!O29)-find(":",tipp!O29)))=tipp!$G29-tipp!$H29,pontozas!$B$2,0)+if(tipp!O29=tipp!$F29,pontozas!$B$3),""),"")</f>
        <v>0</v>
      </c>
      <c r="G30" t="str">
        <f>if(G$1&lt;&gt;"",iferror(if(if(left(tipp!P29,find(":",tipp!P29)-1)&gt;right(tipp!P29,(len(tipp!P29)-find(":",tipp!P29))),1,if(right(tipp!P29,(len(tipp!P29)-find(":",tipp!P29)))&gt;left(tipp!P29,find(":",tipp!P29)-1),2,"x"))=tipp!$I29,tipp!$J29*pontozas!$B$1)+if(left(tipp!P29,find(":",tipp!P29)-1)-right(tipp!P29,(len(tipp!P29)-find(":",tipp!P29)))=tipp!$G29-tipp!$H29,pontozas!$B$2,0)+if(tipp!P29=tipp!$F29,pontozas!$B$3),""),"")</f>
        <v/>
      </c>
      <c r="H30">
        <f>if(H$1&lt;&gt;"",iferror(if(if(left(tipp!Q29,find(":",tipp!Q29)-1)&gt;right(tipp!Q29,(len(tipp!Q29)-find(":",tipp!Q29))),1,if(right(tipp!Q29,(len(tipp!Q29)-find(":",tipp!Q29)))&gt;left(tipp!Q29,find(":",tipp!Q29)-1),2,"x"))=tipp!$I29,tipp!$J29*pontozas!$B$1)+if(left(tipp!Q29,find(":",tipp!Q29)-1)-right(tipp!Q29,(len(tipp!Q29)-find(":",tipp!Q29)))=tipp!$G29-tipp!$H29,pontozas!$B$2,0)+if(tipp!Q29=tipp!$F29,pontozas!$B$3),""),"")</f>
        <v>0</v>
      </c>
      <c r="I30" t="str">
        <f>if(I$1&lt;&gt;"",iferror(if(if(left(tipp!R29,find(":",tipp!R29)-1)&gt;right(tipp!R29,(len(tipp!R29)-find(":",tipp!R29))),1,if(right(tipp!R29,(len(tipp!R29)-find(":",tipp!R29)))&gt;left(tipp!R29,find(":",tipp!R29)-1),2,"x"))=tipp!$I29,tipp!$J29*pontozas!$B$1)+if(left(tipp!R29,find(":",tipp!R29)-1)-right(tipp!R29,(len(tipp!R29)-find(":",tipp!R29)))=tipp!$G29-tipp!$H29,pontozas!$B$2,0)+if(tipp!R29=tipp!$F29,pontozas!$B$3),""),"")</f>
        <v/>
      </c>
      <c r="J30" t="str">
        <f>if(J$1&lt;&gt;"",iferror(if(if(left(tipp!S29,find(":",tipp!S29)-1)&gt;right(tipp!S29,(len(tipp!S29)-find(":",tipp!S29))),1,if(right(tipp!S29,(len(tipp!S29)-find(":",tipp!S29)))&gt;left(tipp!S29,find(":",tipp!S29)-1),2,"x"))=tipp!$I29,tipp!$J29*pontozas!$B$1)+if(left(tipp!S29,find(":",tipp!S29)-1)-right(tipp!S29,(len(tipp!S29)-find(":",tipp!S29)))=tipp!$G29-tipp!$H29,pontozas!$B$2,0)+if(tipp!S29=tipp!$F29,pontozas!$B$3),""),"")</f>
        <v/>
      </c>
      <c r="K30" t="str">
        <f>if(K$1&lt;&gt;"",iferror(if(if(left(tipp!T29,find(":",tipp!T29)-1)&gt;right(tipp!T29,(len(tipp!T29)-find(":",tipp!T29))),1,if(right(tipp!T29,(len(tipp!T29)-find(":",tipp!T29)))&gt;left(tipp!T29,find(":",tipp!T29)-1),2,"x"))=tipp!$I29,tipp!$J29*pontozas!$B$1)+if(left(tipp!T29,find(":",tipp!T29)-1)-right(tipp!T29,(len(tipp!T29)-find(":",tipp!T29)))=tipp!$G29-tipp!$H29,pontozas!$B$2,0)+if(tipp!T29=tipp!$F29,pontozas!$B$3),""),"")</f>
        <v/>
      </c>
      <c r="L30" t="str">
        <f>if(L$1&lt;&gt;"",iferror(if(if(left(tipp!U29,find(":",tipp!U29)-1)&gt;right(tipp!U29,(len(tipp!U29)-find(":",tipp!U29))),1,if(right(tipp!U29,(len(tipp!U29)-find(":",tipp!U29)))&gt;left(tipp!U29,find(":",tipp!U29)-1),2,"x"))=tipp!$I29,tipp!$J29*pontozas!$B$1)+if(left(tipp!U29,find(":",tipp!U29)-1)-right(tipp!U29,(len(tipp!U29)-find(":",tipp!U29)))=tipp!$G29-tipp!$H29,pontozas!$B$2,0)+if(tipp!U29=tipp!$F29,pontozas!$B$3),""),"")</f>
        <v/>
      </c>
      <c r="M30" t="str">
        <f>if(M$1&lt;&gt;"",iferror(if(if(left(tipp!V29,find(":",tipp!V29)-1)&gt;right(tipp!V29,(len(tipp!V29)-find(":",tipp!V29))),1,if(right(tipp!V29,(len(tipp!V29)-find(":",tipp!V29)))&gt;left(tipp!V29,find(":",tipp!V29)-1),2,"x"))=tipp!$I29,tipp!$J29*pontozas!$B$1)+if(left(tipp!V29,find(":",tipp!V29)-1)-right(tipp!V29,(len(tipp!V29)-find(":",tipp!V29)))=tipp!$G29-tipp!$H29,pontozas!$B$2,0)+if(tipp!V29=tipp!$F29,pontozas!$B$3),""),"")</f>
        <v/>
      </c>
      <c r="N30" t="str">
        <f>if(N$1&lt;&gt;"",iferror(if(if(left(tipp!W29,find(":",tipp!W29)-1)&gt;right(tipp!W29,(len(tipp!W29)-find(":",tipp!W29))),1,if(right(tipp!W29,(len(tipp!W29)-find(":",tipp!W29)))&gt;left(tipp!W29,find(":",tipp!W29)-1),2,"x"))=tipp!$I29,tipp!$J29*pontozas!$B$1)+if(left(tipp!W29,find(":",tipp!W29)-1)-right(tipp!W29,(len(tipp!W29)-find(":",tipp!W29)))=tipp!$G29-tipp!$H29,pontozas!$B$2,0)+if(tipp!W29=tipp!$F29,pontozas!$B$3),""),"")</f>
        <v/>
      </c>
      <c r="O30" t="str">
        <f>if(O$1&lt;&gt;"",iferror(if(if(left(tipp!X29,find(":",tipp!X29)-1)&gt;right(tipp!X29,(len(tipp!X29)-find(":",tipp!X29))),1,if(right(tipp!X29,(len(tipp!X29)-find(":",tipp!X29)))&gt;left(tipp!X29,find(":",tipp!X29)-1),2,"x"))=tipp!$I29,tipp!$J29*pontozas!$B$1)+if(left(tipp!X29,find(":",tipp!X29)-1)-right(tipp!X29,(len(tipp!X29)-find(":",tipp!X29)))=tipp!$G29-tipp!$H29,pontozas!$B$2,0)+if(tipp!X29=tipp!$F29,pontozas!$B$3),""),"")</f>
        <v/>
      </c>
    </row>
    <row r="31">
      <c r="A31" t="str">
        <f>CONCATENATE(tipp!A30&amp;" : "&amp;tipp!B30)</f>
        <v>Sweden : Austria</v>
      </c>
      <c r="B31">
        <f>if(B$1&lt;&gt;"",iferror(if(if(left(tipp!K30,find(":",tipp!K30)-1)&gt;right(tipp!K30,(len(tipp!K30)-find(":",tipp!K30))),1,if(right(tipp!K30,(len(tipp!K30)-find(":",tipp!K30)))&gt;left(tipp!K30,find(":",tipp!K30)-1),2,"x"))=tipp!$I30,tipp!$J30*pontozas!$B$1)+if(left(tipp!K30,find(":",tipp!K30)-1)-right(tipp!K30,(len(tipp!K30)-find(":",tipp!K30)))=tipp!$G30-tipp!$H30,pontozas!$B$2,0)+if(tipp!K30=tipp!$F30,pontozas!$B$3),""),"")</f>
        <v>1.05</v>
      </c>
      <c r="C31">
        <f>if(C$1&lt;&gt;"",iferror(if(if(left(tipp!L30,find(":",tipp!L30)-1)&gt;right(tipp!L30,(len(tipp!L30)-find(":",tipp!L30))),1,if(right(tipp!L30,(len(tipp!L30)-find(":",tipp!L30)))&gt;left(tipp!L30,find(":",tipp!L30)-1),2,"x"))=tipp!$I30,tipp!$J30*pontozas!$B$1)+if(left(tipp!L30,find(":",tipp!L30)-1)-right(tipp!L30,(len(tipp!L30)-find(":",tipp!L30)))=tipp!$G30-tipp!$H30,pontozas!$B$2,0)+if(tipp!L30=tipp!$F30,pontozas!$B$3),""),"")</f>
        <v>1.05</v>
      </c>
      <c r="D31">
        <f>if(D$1&lt;&gt;"",iferror(if(if(left(tipp!M30,find(":",tipp!M30)-1)&gt;right(tipp!M30,(len(tipp!M30)-find(":",tipp!M30))),1,if(right(tipp!M30,(len(tipp!M30)-find(":",tipp!M30)))&gt;left(tipp!M30,find(":",tipp!M30)-1),2,"x"))=tipp!$I30,tipp!$J30*pontozas!$B$1)+if(left(tipp!M30,find(":",tipp!M30)-1)-right(tipp!M30,(len(tipp!M30)-find(":",tipp!M30)))=tipp!$G30-tipp!$H30,pontozas!$B$2,0)+if(tipp!M30=tipp!$F30,pontozas!$B$3),""),"")</f>
        <v>1.05</v>
      </c>
      <c r="E31">
        <f>if(E$1&lt;&gt;"",iferror(if(if(left(tipp!N30,find(":",tipp!N30)-1)&gt;right(tipp!N30,(len(tipp!N30)-find(":",tipp!N30))),1,if(right(tipp!N30,(len(tipp!N30)-find(":",tipp!N30)))&gt;left(tipp!N30,find(":",tipp!N30)-1),2,"x"))=tipp!$I30,tipp!$J30*pontozas!$B$1)+if(left(tipp!N30,find(":",tipp!N30)-1)-right(tipp!N30,(len(tipp!N30)-find(":",tipp!N30)))=tipp!$G30-tipp!$H30,pontozas!$B$2,0)+if(tipp!N30=tipp!$F30,pontozas!$B$3),""),"")</f>
        <v>1.05</v>
      </c>
      <c r="F31">
        <f>if(F$1&lt;&gt;"",iferror(if(if(left(tipp!O30,find(":",tipp!O30)-1)&gt;right(tipp!O30,(len(tipp!O30)-find(":",tipp!O30))),1,if(right(tipp!O30,(len(tipp!O30)-find(":",tipp!O30)))&gt;left(tipp!O30,find(":",tipp!O30)-1),2,"x"))=tipp!$I30,tipp!$J30*pontozas!$B$1)+if(left(tipp!O30,find(":",tipp!O30)-1)-right(tipp!O30,(len(tipp!O30)-find(":",tipp!O30)))=tipp!$G30-tipp!$H30,pontozas!$B$2,0)+if(tipp!O30=tipp!$F30,pontozas!$B$3),""),"")</f>
        <v>1.05</v>
      </c>
      <c r="G31" t="str">
        <f>if(G$1&lt;&gt;"",iferror(if(if(left(tipp!P30,find(":",tipp!P30)-1)&gt;right(tipp!P30,(len(tipp!P30)-find(":",tipp!P30))),1,if(right(tipp!P30,(len(tipp!P30)-find(":",tipp!P30)))&gt;left(tipp!P30,find(":",tipp!P30)-1),2,"x"))=tipp!$I30,tipp!$J30*pontozas!$B$1)+if(left(tipp!P30,find(":",tipp!P30)-1)-right(tipp!P30,(len(tipp!P30)-find(":",tipp!P30)))=tipp!$G30-tipp!$H30,pontozas!$B$2,0)+if(tipp!P30=tipp!$F30,pontozas!$B$3),""),"")</f>
        <v/>
      </c>
      <c r="H31">
        <f>if(H$1&lt;&gt;"",iferror(if(if(left(tipp!Q30,find(":",tipp!Q30)-1)&gt;right(tipp!Q30,(len(tipp!Q30)-find(":",tipp!Q30))),1,if(right(tipp!Q30,(len(tipp!Q30)-find(":",tipp!Q30)))&gt;left(tipp!Q30,find(":",tipp!Q30)-1),2,"x"))=tipp!$I30,tipp!$J30*pontozas!$B$1)+if(left(tipp!Q30,find(":",tipp!Q30)-1)-right(tipp!Q30,(len(tipp!Q30)-find(":",tipp!Q30)))=tipp!$G30-tipp!$H30,pontozas!$B$2,0)+if(tipp!Q30=tipp!$F30,pontozas!$B$3),""),"")</f>
        <v>1.05</v>
      </c>
      <c r="I31" t="str">
        <f>if(I$1&lt;&gt;"",iferror(if(if(left(tipp!R30,find(":",tipp!R30)-1)&gt;right(tipp!R30,(len(tipp!R30)-find(":",tipp!R30))),1,if(right(tipp!R30,(len(tipp!R30)-find(":",tipp!R30)))&gt;left(tipp!R30,find(":",tipp!R30)-1),2,"x"))=tipp!$I30,tipp!$J30*pontozas!$B$1)+if(left(tipp!R30,find(":",tipp!R30)-1)-right(tipp!R30,(len(tipp!R30)-find(":",tipp!R30)))=tipp!$G30-tipp!$H30,pontozas!$B$2,0)+if(tipp!R30=tipp!$F30,pontozas!$B$3),""),"")</f>
        <v/>
      </c>
      <c r="J31" t="str">
        <f>if(J$1&lt;&gt;"",iferror(if(if(left(tipp!S30,find(":",tipp!S30)-1)&gt;right(tipp!S30,(len(tipp!S30)-find(":",tipp!S30))),1,if(right(tipp!S30,(len(tipp!S30)-find(":",tipp!S30)))&gt;left(tipp!S30,find(":",tipp!S30)-1),2,"x"))=tipp!$I30,tipp!$J30*pontozas!$B$1)+if(left(tipp!S30,find(":",tipp!S30)-1)-right(tipp!S30,(len(tipp!S30)-find(":",tipp!S30)))=tipp!$G30-tipp!$H30,pontozas!$B$2,0)+if(tipp!S30=tipp!$F30,pontozas!$B$3),""),"")</f>
        <v/>
      </c>
      <c r="K31" t="str">
        <f>if(K$1&lt;&gt;"",iferror(if(if(left(tipp!T30,find(":",tipp!T30)-1)&gt;right(tipp!T30,(len(tipp!T30)-find(":",tipp!T30))),1,if(right(tipp!T30,(len(tipp!T30)-find(":",tipp!T30)))&gt;left(tipp!T30,find(":",tipp!T30)-1),2,"x"))=tipp!$I30,tipp!$J30*pontozas!$B$1)+if(left(tipp!T30,find(":",tipp!T30)-1)-right(tipp!T30,(len(tipp!T30)-find(":",tipp!T30)))=tipp!$G30-tipp!$H30,pontozas!$B$2,0)+if(tipp!T30=tipp!$F30,pontozas!$B$3),""),"")</f>
        <v/>
      </c>
      <c r="L31" t="str">
        <f>if(L$1&lt;&gt;"",iferror(if(if(left(tipp!U30,find(":",tipp!U30)-1)&gt;right(tipp!U30,(len(tipp!U30)-find(":",tipp!U30))),1,if(right(tipp!U30,(len(tipp!U30)-find(":",tipp!U30)))&gt;left(tipp!U30,find(":",tipp!U30)-1),2,"x"))=tipp!$I30,tipp!$J30*pontozas!$B$1)+if(left(tipp!U30,find(":",tipp!U30)-1)-right(tipp!U30,(len(tipp!U30)-find(":",tipp!U30)))=tipp!$G30-tipp!$H30,pontozas!$B$2,0)+if(tipp!U30=tipp!$F30,pontozas!$B$3),""),"")</f>
        <v/>
      </c>
      <c r="M31" t="str">
        <f>if(M$1&lt;&gt;"",iferror(if(if(left(tipp!V30,find(":",tipp!V30)-1)&gt;right(tipp!V30,(len(tipp!V30)-find(":",tipp!V30))),1,if(right(tipp!V30,(len(tipp!V30)-find(":",tipp!V30)))&gt;left(tipp!V30,find(":",tipp!V30)-1),2,"x"))=tipp!$I30,tipp!$J30*pontozas!$B$1)+if(left(tipp!V30,find(":",tipp!V30)-1)-right(tipp!V30,(len(tipp!V30)-find(":",tipp!V30)))=tipp!$G30-tipp!$H30,pontozas!$B$2,0)+if(tipp!V30=tipp!$F30,pontozas!$B$3),""),"")</f>
        <v/>
      </c>
      <c r="N31" t="str">
        <f>if(N$1&lt;&gt;"",iferror(if(if(left(tipp!W30,find(":",tipp!W30)-1)&gt;right(tipp!W30,(len(tipp!W30)-find(":",tipp!W30))),1,if(right(tipp!W30,(len(tipp!W30)-find(":",tipp!W30)))&gt;left(tipp!W30,find(":",tipp!W30)-1),2,"x"))=tipp!$I30,tipp!$J30*pontozas!$B$1)+if(left(tipp!W30,find(":",tipp!W30)-1)-right(tipp!W30,(len(tipp!W30)-find(":",tipp!W30)))=tipp!$G30-tipp!$H30,pontozas!$B$2,0)+if(tipp!W30=tipp!$F30,pontozas!$B$3),""),"")</f>
        <v/>
      </c>
      <c r="O31" t="str">
        <f>if(O$1&lt;&gt;"",iferror(if(if(left(tipp!X30,find(":",tipp!X30)-1)&gt;right(tipp!X30,(len(tipp!X30)-find(":",tipp!X30))),1,if(right(tipp!X30,(len(tipp!X30)-find(":",tipp!X30)))&gt;left(tipp!X30,find(":",tipp!X30)-1),2,"x"))=tipp!$I30,tipp!$J30*pontozas!$B$1)+if(left(tipp!X30,find(":",tipp!X30)-1)-right(tipp!X30,(len(tipp!X30)-find(":",tipp!X30)))=tipp!$G30-tipp!$H30,pontozas!$B$2,0)+if(tipp!X30=tipp!$F30,pontozas!$B$3),""),"")</f>
        <v/>
      </c>
    </row>
    <row r="32">
      <c r="A32" t="str">
        <f>CONCATENATE(tipp!A31&amp;" : "&amp;tipp!B31)</f>
        <v>Germany : South Korea</v>
      </c>
      <c r="B32">
        <f>if(B$1&lt;&gt;"",iferror(if(if(left(tipp!K31,find(":",tipp!K31)-1)&gt;right(tipp!K31,(len(tipp!K31)-find(":",tipp!K31))),1,if(right(tipp!K31,(len(tipp!K31)-find(":",tipp!K31)))&gt;left(tipp!K31,find(":",tipp!K31)-1),2,"x"))=tipp!$I31,tipp!$J31*pontozas!$B$1)+if(left(tipp!K31,find(":",tipp!K31)-1)-right(tipp!K31,(len(tipp!K31)-find(":",tipp!K31)))=tipp!$G31-tipp!$H31,pontozas!$B$2,0)+if(tipp!K31=tipp!$F31,pontozas!$B$3),""),"")</f>
        <v>1.22</v>
      </c>
      <c r="C32">
        <f>if(C$1&lt;&gt;"",iferror(if(if(left(tipp!L31,find(":",tipp!L31)-1)&gt;right(tipp!L31,(len(tipp!L31)-find(":",tipp!L31))),1,if(right(tipp!L31,(len(tipp!L31)-find(":",tipp!L31)))&gt;left(tipp!L31,find(":",tipp!L31)-1),2,"x"))=tipp!$I31,tipp!$J31*pontozas!$B$1)+if(left(tipp!L31,find(":",tipp!L31)-1)-right(tipp!L31,(len(tipp!L31)-find(":",tipp!L31)))=tipp!$G31-tipp!$H31,pontozas!$B$2,0)+if(tipp!L31=tipp!$F31,pontozas!$B$3),""),"")</f>
        <v>1.22</v>
      </c>
      <c r="D32">
        <f>if(D$1&lt;&gt;"",iferror(if(if(left(tipp!M31,find(":",tipp!M31)-1)&gt;right(tipp!M31,(len(tipp!M31)-find(":",tipp!M31))),1,if(right(tipp!M31,(len(tipp!M31)-find(":",tipp!M31)))&gt;left(tipp!M31,find(":",tipp!M31)-1),2,"x"))=tipp!$I31,tipp!$J31*pontozas!$B$1)+if(left(tipp!M31,find(":",tipp!M31)-1)-right(tipp!M31,(len(tipp!M31)-find(":",tipp!M31)))=tipp!$G31-tipp!$H31,pontozas!$B$2,0)+if(tipp!M31=tipp!$F31,pontozas!$B$3),""),"")</f>
        <v>1.22</v>
      </c>
      <c r="E32">
        <f>if(E$1&lt;&gt;"",iferror(if(if(left(tipp!N31,find(":",tipp!N31)-1)&gt;right(tipp!N31,(len(tipp!N31)-find(":",tipp!N31))),1,if(right(tipp!N31,(len(tipp!N31)-find(":",tipp!N31)))&gt;left(tipp!N31,find(":",tipp!N31)-1),2,"x"))=tipp!$I31,tipp!$J31*pontozas!$B$1)+if(left(tipp!N31,find(":",tipp!N31)-1)-right(tipp!N31,(len(tipp!N31)-find(":",tipp!N31)))=tipp!$G31-tipp!$H31,pontozas!$B$2,0)+if(tipp!N31=tipp!$F31,pontozas!$B$3),""),"")</f>
        <v>1.22</v>
      </c>
      <c r="F32">
        <f>if(F$1&lt;&gt;"",iferror(if(if(left(tipp!O31,find(":",tipp!O31)-1)&gt;right(tipp!O31,(len(tipp!O31)-find(":",tipp!O31))),1,if(right(tipp!O31,(len(tipp!O31)-find(":",tipp!O31)))&gt;left(tipp!O31,find(":",tipp!O31)-1),2,"x"))=tipp!$I31,tipp!$J31*pontozas!$B$1)+if(left(tipp!O31,find(":",tipp!O31)-1)-right(tipp!O31,(len(tipp!O31)-find(":",tipp!O31)))=tipp!$G31-tipp!$H31,pontozas!$B$2,0)+if(tipp!O31=tipp!$F31,pontozas!$B$3),""),"")</f>
        <v>1.22</v>
      </c>
      <c r="G32" t="str">
        <f>if(G$1&lt;&gt;"",iferror(if(if(left(tipp!P31,find(":",tipp!P31)-1)&gt;right(tipp!P31,(len(tipp!P31)-find(":",tipp!P31))),1,if(right(tipp!P31,(len(tipp!P31)-find(":",tipp!P31)))&gt;left(tipp!P31,find(":",tipp!P31)-1),2,"x"))=tipp!$I31,tipp!$J31*pontozas!$B$1)+if(left(tipp!P31,find(":",tipp!P31)-1)-right(tipp!P31,(len(tipp!P31)-find(":",tipp!P31)))=tipp!$G31-tipp!$H31,pontozas!$B$2,0)+if(tipp!P31=tipp!$F31,pontozas!$B$3),""),"")</f>
        <v/>
      </c>
      <c r="H32">
        <f>if(H$1&lt;&gt;"",iferror(if(if(left(tipp!Q31,find(":",tipp!Q31)-1)&gt;right(tipp!Q31,(len(tipp!Q31)-find(":",tipp!Q31))),1,if(right(tipp!Q31,(len(tipp!Q31)-find(":",tipp!Q31)))&gt;left(tipp!Q31,find(":",tipp!Q31)-1),2,"x"))=tipp!$I31,tipp!$J31*pontozas!$B$1)+if(left(tipp!Q31,find(":",tipp!Q31)-1)-right(tipp!Q31,(len(tipp!Q31)-find(":",tipp!Q31)))=tipp!$G31-tipp!$H31,pontozas!$B$2,0)+if(tipp!Q31=tipp!$F31,pontozas!$B$3),""),"")</f>
        <v>1.22</v>
      </c>
      <c r="I32" t="str">
        <f>if(I$1&lt;&gt;"",iferror(if(if(left(tipp!R31,find(":",tipp!R31)-1)&gt;right(tipp!R31,(len(tipp!R31)-find(":",tipp!R31))),1,if(right(tipp!R31,(len(tipp!R31)-find(":",tipp!R31)))&gt;left(tipp!R31,find(":",tipp!R31)-1),2,"x"))=tipp!$I31,tipp!$J31*pontozas!$B$1)+if(left(tipp!R31,find(":",tipp!R31)-1)-right(tipp!R31,(len(tipp!R31)-find(":",tipp!R31)))=tipp!$G31-tipp!$H31,pontozas!$B$2,0)+if(tipp!R31=tipp!$F31,pontozas!$B$3),""),"")</f>
        <v/>
      </c>
      <c r="J32" t="str">
        <f>if(J$1&lt;&gt;"",iferror(if(if(left(tipp!S31,find(":",tipp!S31)-1)&gt;right(tipp!S31,(len(tipp!S31)-find(":",tipp!S31))),1,if(right(tipp!S31,(len(tipp!S31)-find(":",tipp!S31)))&gt;left(tipp!S31,find(":",tipp!S31)-1),2,"x"))=tipp!$I31,tipp!$J31*pontozas!$B$1)+if(left(tipp!S31,find(":",tipp!S31)-1)-right(tipp!S31,(len(tipp!S31)-find(":",tipp!S31)))=tipp!$G31-tipp!$H31,pontozas!$B$2,0)+if(tipp!S31=tipp!$F31,pontozas!$B$3),""),"")</f>
        <v/>
      </c>
      <c r="K32" t="str">
        <f>if(K$1&lt;&gt;"",iferror(if(if(left(tipp!T31,find(":",tipp!T31)-1)&gt;right(tipp!T31,(len(tipp!T31)-find(":",tipp!T31))),1,if(right(tipp!T31,(len(tipp!T31)-find(":",tipp!T31)))&gt;left(tipp!T31,find(":",tipp!T31)-1),2,"x"))=tipp!$I31,tipp!$J31*pontozas!$B$1)+if(left(tipp!T31,find(":",tipp!T31)-1)-right(tipp!T31,(len(tipp!T31)-find(":",tipp!T31)))=tipp!$G31-tipp!$H31,pontozas!$B$2,0)+if(tipp!T31=tipp!$F31,pontozas!$B$3),""),"")</f>
        <v/>
      </c>
      <c r="L32" t="str">
        <f>if(L$1&lt;&gt;"",iferror(if(if(left(tipp!U31,find(":",tipp!U31)-1)&gt;right(tipp!U31,(len(tipp!U31)-find(":",tipp!U31))),1,if(right(tipp!U31,(len(tipp!U31)-find(":",tipp!U31)))&gt;left(tipp!U31,find(":",tipp!U31)-1),2,"x"))=tipp!$I31,tipp!$J31*pontozas!$B$1)+if(left(tipp!U31,find(":",tipp!U31)-1)-right(tipp!U31,(len(tipp!U31)-find(":",tipp!U31)))=tipp!$G31-tipp!$H31,pontozas!$B$2,0)+if(tipp!U31=tipp!$F31,pontozas!$B$3),""),"")</f>
        <v/>
      </c>
      <c r="M32" t="str">
        <f>if(M$1&lt;&gt;"",iferror(if(if(left(tipp!V31,find(":",tipp!V31)-1)&gt;right(tipp!V31,(len(tipp!V31)-find(":",tipp!V31))),1,if(right(tipp!V31,(len(tipp!V31)-find(":",tipp!V31)))&gt;left(tipp!V31,find(":",tipp!V31)-1),2,"x"))=tipp!$I31,tipp!$J31*pontozas!$B$1)+if(left(tipp!V31,find(":",tipp!V31)-1)-right(tipp!V31,(len(tipp!V31)-find(":",tipp!V31)))=tipp!$G31-tipp!$H31,pontozas!$B$2,0)+if(tipp!V31=tipp!$F31,pontozas!$B$3),""),"")</f>
        <v/>
      </c>
      <c r="N32" t="str">
        <f>if(N$1&lt;&gt;"",iferror(if(if(left(tipp!W31,find(":",tipp!W31)-1)&gt;right(tipp!W31,(len(tipp!W31)-find(":",tipp!W31))),1,if(right(tipp!W31,(len(tipp!W31)-find(":",tipp!W31)))&gt;left(tipp!W31,find(":",tipp!W31)-1),2,"x"))=tipp!$I31,tipp!$J31*pontozas!$B$1)+if(left(tipp!W31,find(":",tipp!W31)-1)-right(tipp!W31,(len(tipp!W31)-find(":",tipp!W31)))=tipp!$G31-tipp!$H31,pontozas!$B$2,0)+if(tipp!W31=tipp!$F31,pontozas!$B$3),""),"")</f>
        <v/>
      </c>
      <c r="O32" t="str">
        <f>if(O$1&lt;&gt;"",iferror(if(if(left(tipp!X31,find(":",tipp!X31)-1)&gt;right(tipp!X31,(len(tipp!X31)-find(":",tipp!X31))),1,if(right(tipp!X31,(len(tipp!X31)-find(":",tipp!X31)))&gt;left(tipp!X31,find(":",tipp!X31)-1),2,"x"))=tipp!$I31,tipp!$J31*pontozas!$B$1)+if(left(tipp!X31,find(":",tipp!X31)-1)-right(tipp!X31,(len(tipp!X31)-find(":",tipp!X31)))=tipp!$G31-tipp!$H31,pontozas!$B$2,0)+if(tipp!X31=tipp!$F31,pontozas!$B$3),""),"")</f>
        <v/>
      </c>
    </row>
    <row r="33">
      <c r="A33" t="str">
        <f>CONCATENATE(tipp!A32&amp;" : "&amp;tipp!B32)</f>
        <v>Finland : Denmark</v>
      </c>
      <c r="B33">
        <f>if(B$1&lt;&gt;"",iferror(if(if(left(tipp!K32,find(":",tipp!K32)-1)&gt;right(tipp!K32,(len(tipp!K32)-find(":",tipp!K32))),1,if(right(tipp!K32,(len(tipp!K32)-find(":",tipp!K32)))&gt;left(tipp!K32,find(":",tipp!K32)-1),2,"x"))=tipp!$I32,tipp!$J32*pontozas!$B$1)+if(left(tipp!K32,find(":",tipp!K32)-1)-right(tipp!K32,(len(tipp!K32)-find(":",tipp!K32)))=tipp!$G32-tipp!$H32,pontozas!$B$2,0)+if(tipp!K32=tipp!$F32,pontozas!$B$3),""),"")</f>
        <v>0</v>
      </c>
      <c r="C33">
        <f>if(C$1&lt;&gt;"",iferror(if(if(left(tipp!L32,find(":",tipp!L32)-1)&gt;right(tipp!L32,(len(tipp!L32)-find(":",tipp!L32))),1,if(right(tipp!L32,(len(tipp!L32)-find(":",tipp!L32)))&gt;left(tipp!L32,find(":",tipp!L32)-1),2,"x"))=tipp!$I32,tipp!$J32*pontozas!$B$1)+if(left(tipp!L32,find(":",tipp!L32)-1)-right(tipp!L32,(len(tipp!L32)-find(":",tipp!L32)))=tipp!$G32-tipp!$H32,pontozas!$B$2,0)+if(tipp!L32=tipp!$F32,pontozas!$B$3),""),"")</f>
        <v>0</v>
      </c>
      <c r="D33">
        <f>if(D$1&lt;&gt;"",iferror(if(if(left(tipp!M32,find(":",tipp!M32)-1)&gt;right(tipp!M32,(len(tipp!M32)-find(":",tipp!M32))),1,if(right(tipp!M32,(len(tipp!M32)-find(":",tipp!M32)))&gt;left(tipp!M32,find(":",tipp!M32)-1),2,"x"))=tipp!$I32,tipp!$J32*pontozas!$B$1)+if(left(tipp!M32,find(":",tipp!M32)-1)-right(tipp!M32,(len(tipp!M32)-find(":",tipp!M32)))=tipp!$G32-tipp!$H32,pontozas!$B$2,0)+if(tipp!M32=tipp!$F32,pontozas!$B$3),""),"")</f>
        <v>0</v>
      </c>
      <c r="E33">
        <f>if(E$1&lt;&gt;"",iferror(if(if(left(tipp!N32,find(":",tipp!N32)-1)&gt;right(tipp!N32,(len(tipp!N32)-find(":",tipp!N32))),1,if(right(tipp!N32,(len(tipp!N32)-find(":",tipp!N32)))&gt;left(tipp!N32,find(":",tipp!N32)-1),2,"x"))=tipp!$I32,tipp!$J32*pontozas!$B$1)+if(left(tipp!N32,find(":",tipp!N32)-1)-right(tipp!N32,(len(tipp!N32)-find(":",tipp!N32)))=tipp!$G32-tipp!$H32,pontozas!$B$2,0)+if(tipp!N32=tipp!$F32,pontozas!$B$3),""),"")</f>
        <v>0</v>
      </c>
      <c r="F33">
        <f>if(F$1&lt;&gt;"",iferror(if(if(left(tipp!O32,find(":",tipp!O32)-1)&gt;right(tipp!O32,(len(tipp!O32)-find(":",tipp!O32))),1,if(right(tipp!O32,(len(tipp!O32)-find(":",tipp!O32)))&gt;left(tipp!O32,find(":",tipp!O32)-1),2,"x"))=tipp!$I32,tipp!$J32*pontozas!$B$1)+if(left(tipp!O32,find(":",tipp!O32)-1)-right(tipp!O32,(len(tipp!O32)-find(":",tipp!O32)))=tipp!$G32-tipp!$H32,pontozas!$B$2,0)+if(tipp!O32=tipp!$F32,pontozas!$B$3),""),"")</f>
        <v>0</v>
      </c>
      <c r="G33" t="str">
        <f>if(G$1&lt;&gt;"",iferror(if(if(left(tipp!P32,find(":",tipp!P32)-1)&gt;right(tipp!P32,(len(tipp!P32)-find(":",tipp!P32))),1,if(right(tipp!P32,(len(tipp!P32)-find(":",tipp!P32)))&gt;left(tipp!P32,find(":",tipp!P32)-1),2,"x"))=tipp!$I32,tipp!$J32*pontozas!$B$1)+if(left(tipp!P32,find(":",tipp!P32)-1)-right(tipp!P32,(len(tipp!P32)-find(":",tipp!P32)))=tipp!$G32-tipp!$H32,pontozas!$B$2,0)+if(tipp!P32=tipp!$F32,pontozas!$B$3),""),"")</f>
        <v/>
      </c>
      <c r="H33">
        <f>if(H$1&lt;&gt;"",iferror(if(if(left(tipp!Q32,find(":",tipp!Q32)-1)&gt;right(tipp!Q32,(len(tipp!Q32)-find(":",tipp!Q32))),1,if(right(tipp!Q32,(len(tipp!Q32)-find(":",tipp!Q32)))&gt;left(tipp!Q32,find(":",tipp!Q32)-1),2,"x"))=tipp!$I32,tipp!$J32*pontozas!$B$1)+if(left(tipp!Q32,find(":",tipp!Q32)-1)-right(tipp!Q32,(len(tipp!Q32)-find(":",tipp!Q32)))=tipp!$G32-tipp!$H32,pontozas!$B$2,0)+if(tipp!Q32=tipp!$F32,pontozas!$B$3),""),"")</f>
        <v>0</v>
      </c>
      <c r="I33" t="str">
        <f>if(I$1&lt;&gt;"",iferror(if(if(left(tipp!R32,find(":",tipp!R32)-1)&gt;right(tipp!R32,(len(tipp!R32)-find(":",tipp!R32))),1,if(right(tipp!R32,(len(tipp!R32)-find(":",tipp!R32)))&gt;left(tipp!R32,find(":",tipp!R32)-1),2,"x"))=tipp!$I32,tipp!$J32*pontozas!$B$1)+if(left(tipp!R32,find(":",tipp!R32)-1)-right(tipp!R32,(len(tipp!R32)-find(":",tipp!R32)))=tipp!$G32-tipp!$H32,pontozas!$B$2,0)+if(tipp!R32=tipp!$F32,pontozas!$B$3),""),"")</f>
        <v/>
      </c>
      <c r="J33" t="str">
        <f>if(J$1&lt;&gt;"",iferror(if(if(left(tipp!S32,find(":",tipp!S32)-1)&gt;right(tipp!S32,(len(tipp!S32)-find(":",tipp!S32))),1,if(right(tipp!S32,(len(tipp!S32)-find(":",tipp!S32)))&gt;left(tipp!S32,find(":",tipp!S32)-1),2,"x"))=tipp!$I32,tipp!$J32*pontozas!$B$1)+if(left(tipp!S32,find(":",tipp!S32)-1)-right(tipp!S32,(len(tipp!S32)-find(":",tipp!S32)))=tipp!$G32-tipp!$H32,pontozas!$B$2,0)+if(tipp!S32=tipp!$F32,pontozas!$B$3),""),"")</f>
        <v/>
      </c>
      <c r="K33" t="str">
        <f>if(K$1&lt;&gt;"",iferror(if(if(left(tipp!T32,find(":",tipp!T32)-1)&gt;right(tipp!T32,(len(tipp!T32)-find(":",tipp!T32))),1,if(right(tipp!T32,(len(tipp!T32)-find(":",tipp!T32)))&gt;left(tipp!T32,find(":",tipp!T32)-1),2,"x"))=tipp!$I32,tipp!$J32*pontozas!$B$1)+if(left(tipp!T32,find(":",tipp!T32)-1)-right(tipp!T32,(len(tipp!T32)-find(":",tipp!T32)))=tipp!$G32-tipp!$H32,pontozas!$B$2,0)+if(tipp!T32=tipp!$F32,pontozas!$B$3),""),"")</f>
        <v/>
      </c>
      <c r="L33" t="str">
        <f>if(L$1&lt;&gt;"",iferror(if(if(left(tipp!U32,find(":",tipp!U32)-1)&gt;right(tipp!U32,(len(tipp!U32)-find(":",tipp!U32))),1,if(right(tipp!U32,(len(tipp!U32)-find(":",tipp!U32)))&gt;left(tipp!U32,find(":",tipp!U32)-1),2,"x"))=tipp!$I32,tipp!$J32*pontozas!$B$1)+if(left(tipp!U32,find(":",tipp!U32)-1)-right(tipp!U32,(len(tipp!U32)-find(":",tipp!U32)))=tipp!$G32-tipp!$H32,pontozas!$B$2,0)+if(tipp!U32=tipp!$F32,pontozas!$B$3),""),"")</f>
        <v/>
      </c>
      <c r="M33" t="str">
        <f>if(M$1&lt;&gt;"",iferror(if(if(left(tipp!V32,find(":",tipp!V32)-1)&gt;right(tipp!V32,(len(tipp!V32)-find(":",tipp!V32))),1,if(right(tipp!V32,(len(tipp!V32)-find(":",tipp!V32)))&gt;left(tipp!V32,find(":",tipp!V32)-1),2,"x"))=tipp!$I32,tipp!$J32*pontozas!$B$1)+if(left(tipp!V32,find(":",tipp!V32)-1)-right(tipp!V32,(len(tipp!V32)-find(":",tipp!V32)))=tipp!$G32-tipp!$H32,pontozas!$B$2,0)+if(tipp!V32=tipp!$F32,pontozas!$B$3),""),"")</f>
        <v/>
      </c>
      <c r="N33" t="str">
        <f>if(N$1&lt;&gt;"",iferror(if(if(left(tipp!W32,find(":",tipp!W32)-1)&gt;right(tipp!W32,(len(tipp!W32)-find(":",tipp!W32))),1,if(right(tipp!W32,(len(tipp!W32)-find(":",tipp!W32)))&gt;left(tipp!W32,find(":",tipp!W32)-1),2,"x"))=tipp!$I32,tipp!$J32*pontozas!$B$1)+if(left(tipp!W32,find(":",tipp!W32)-1)-right(tipp!W32,(len(tipp!W32)-find(":",tipp!W32)))=tipp!$G32-tipp!$H32,pontozas!$B$2,0)+if(tipp!W32=tipp!$F32,pontozas!$B$3),""),"")</f>
        <v/>
      </c>
      <c r="O33" t="str">
        <f>if(O$1&lt;&gt;"",iferror(if(if(left(tipp!X32,find(":",tipp!X32)-1)&gt;right(tipp!X32,(len(tipp!X32)-find(":",tipp!X32))),1,if(right(tipp!X32,(len(tipp!X32)-find(":",tipp!X32)))&gt;left(tipp!X32,find(":",tipp!X32)-1),2,"x"))=tipp!$I32,tipp!$J32*pontozas!$B$1)+if(left(tipp!X32,find(":",tipp!X32)-1)-right(tipp!X32,(len(tipp!X32)-find(":",tipp!X32)))=tipp!$G32-tipp!$H32,pontozas!$B$2,0)+if(tipp!X32=tipp!$F32,pontozas!$B$3),""),"")</f>
        <v/>
      </c>
    </row>
    <row r="34">
      <c r="A34" t="str">
        <f>CONCATENATE(tipp!A33&amp;" : "&amp;tipp!B33)</f>
        <v>Slovakia : France</v>
      </c>
      <c r="B34">
        <f>if(B$1&lt;&gt;"",iferror(if(if(left(tipp!K33,find(":",tipp!K33)-1)&gt;right(tipp!K33,(len(tipp!K33)-find(":",tipp!K33))),1,if(right(tipp!K33,(len(tipp!K33)-find(":",tipp!K33)))&gt;left(tipp!K33,find(":",tipp!K33)-1),2,"x"))=tipp!$I33,tipp!$J33*pontozas!$B$1)+if(left(tipp!K33,find(":",tipp!K33)-1)-right(tipp!K33,(len(tipp!K33)-find(":",tipp!K33)))=tipp!$G33-tipp!$H33,pontozas!$B$2,0)+if(tipp!K33=tipp!$F33,pontozas!$B$3),""),"")</f>
        <v>0</v>
      </c>
      <c r="C34">
        <f>if(C$1&lt;&gt;"",iferror(if(if(left(tipp!L33,find(":",tipp!L33)-1)&gt;right(tipp!L33,(len(tipp!L33)-find(":",tipp!L33))),1,if(right(tipp!L33,(len(tipp!L33)-find(":",tipp!L33)))&gt;left(tipp!L33,find(":",tipp!L33)-1),2,"x"))=tipp!$I33,tipp!$J33*pontozas!$B$1)+if(left(tipp!L33,find(":",tipp!L33)-1)-right(tipp!L33,(len(tipp!L33)-find(":",tipp!L33)))=tipp!$G33-tipp!$H33,pontozas!$B$2,0)+if(tipp!L33=tipp!$F33,pontozas!$B$3),""),"")</f>
        <v>0</v>
      </c>
      <c r="D34">
        <f>if(D$1&lt;&gt;"",iferror(if(if(left(tipp!M33,find(":",tipp!M33)-1)&gt;right(tipp!M33,(len(tipp!M33)-find(":",tipp!M33))),1,if(right(tipp!M33,(len(tipp!M33)-find(":",tipp!M33)))&gt;left(tipp!M33,find(":",tipp!M33)-1),2,"x"))=tipp!$I33,tipp!$J33*pontozas!$B$1)+if(left(tipp!M33,find(":",tipp!M33)-1)-right(tipp!M33,(len(tipp!M33)-find(":",tipp!M33)))=tipp!$G33-tipp!$H33,pontozas!$B$2,0)+if(tipp!M33=tipp!$F33,pontozas!$B$3),""),"")</f>
        <v>3.65</v>
      </c>
      <c r="E34">
        <f>if(E$1&lt;&gt;"",iferror(if(if(left(tipp!N33,find(":",tipp!N33)-1)&gt;right(tipp!N33,(len(tipp!N33)-find(":",tipp!N33))),1,if(right(tipp!N33,(len(tipp!N33)-find(":",tipp!N33)))&gt;left(tipp!N33,find(":",tipp!N33)-1),2,"x"))=tipp!$I33,tipp!$J33*pontozas!$B$1)+if(left(tipp!N33,find(":",tipp!N33)-1)-right(tipp!N33,(len(tipp!N33)-find(":",tipp!N33)))=tipp!$G33-tipp!$H33,pontozas!$B$2,0)+if(tipp!N33=tipp!$F33,pontozas!$B$3),""),"")</f>
        <v>2.65</v>
      </c>
      <c r="F34">
        <f>if(F$1&lt;&gt;"",iferror(if(if(left(tipp!O33,find(":",tipp!O33)-1)&gt;right(tipp!O33,(len(tipp!O33)-find(":",tipp!O33))),1,if(right(tipp!O33,(len(tipp!O33)-find(":",tipp!O33)))&gt;left(tipp!O33,find(":",tipp!O33)-1),2,"x"))=tipp!$I33,tipp!$J33*pontozas!$B$1)+if(left(tipp!O33,find(":",tipp!O33)-1)-right(tipp!O33,(len(tipp!O33)-find(":",tipp!O33)))=tipp!$G33-tipp!$H33,pontozas!$B$2,0)+if(tipp!O33=tipp!$F33,pontozas!$B$3),""),"")</f>
        <v>0</v>
      </c>
      <c r="G34" t="str">
        <f>if(G$1&lt;&gt;"",iferror(if(if(left(tipp!P33,find(":",tipp!P33)-1)&gt;right(tipp!P33,(len(tipp!P33)-find(":",tipp!P33))),1,if(right(tipp!P33,(len(tipp!P33)-find(":",tipp!P33)))&gt;left(tipp!P33,find(":",tipp!P33)-1),2,"x"))=tipp!$I33,tipp!$J33*pontozas!$B$1)+if(left(tipp!P33,find(":",tipp!P33)-1)-right(tipp!P33,(len(tipp!P33)-find(":",tipp!P33)))=tipp!$G33-tipp!$H33,pontozas!$B$2,0)+if(tipp!P33=tipp!$F33,pontozas!$B$3),""),"")</f>
        <v/>
      </c>
      <c r="H34">
        <f>if(H$1&lt;&gt;"",iferror(if(if(left(tipp!Q33,find(":",tipp!Q33)-1)&gt;right(tipp!Q33,(len(tipp!Q33)-find(":",tipp!Q33))),1,if(right(tipp!Q33,(len(tipp!Q33)-find(":",tipp!Q33)))&gt;left(tipp!Q33,find(":",tipp!Q33)-1),2,"x"))=tipp!$I33,tipp!$J33*pontozas!$B$1)+if(left(tipp!Q33,find(":",tipp!Q33)-1)-right(tipp!Q33,(len(tipp!Q33)-find(":",tipp!Q33)))=tipp!$G33-tipp!$H33,pontozas!$B$2,0)+if(tipp!Q33=tipp!$F33,pontozas!$B$3),""),"")</f>
        <v>1.65</v>
      </c>
      <c r="I34" t="str">
        <f>if(I$1&lt;&gt;"",iferror(if(if(left(tipp!R33,find(":",tipp!R33)-1)&gt;right(tipp!R33,(len(tipp!R33)-find(":",tipp!R33))),1,if(right(tipp!R33,(len(tipp!R33)-find(":",tipp!R33)))&gt;left(tipp!R33,find(":",tipp!R33)-1),2,"x"))=tipp!$I33,tipp!$J33*pontozas!$B$1)+if(left(tipp!R33,find(":",tipp!R33)-1)-right(tipp!R33,(len(tipp!R33)-find(":",tipp!R33)))=tipp!$G33-tipp!$H33,pontozas!$B$2,0)+if(tipp!R33=tipp!$F33,pontozas!$B$3),""),"")</f>
        <v/>
      </c>
      <c r="J34" t="str">
        <f>if(J$1&lt;&gt;"",iferror(if(if(left(tipp!S33,find(":",tipp!S33)-1)&gt;right(tipp!S33,(len(tipp!S33)-find(":",tipp!S33))),1,if(right(tipp!S33,(len(tipp!S33)-find(":",tipp!S33)))&gt;left(tipp!S33,find(":",tipp!S33)-1),2,"x"))=tipp!$I33,tipp!$J33*pontozas!$B$1)+if(left(tipp!S33,find(":",tipp!S33)-1)-right(tipp!S33,(len(tipp!S33)-find(":",tipp!S33)))=tipp!$G33-tipp!$H33,pontozas!$B$2,0)+if(tipp!S33=tipp!$F33,pontozas!$B$3),""),"")</f>
        <v/>
      </c>
      <c r="K34" t="str">
        <f>if(K$1&lt;&gt;"",iferror(if(if(left(tipp!T33,find(":",tipp!T33)-1)&gt;right(tipp!T33,(len(tipp!T33)-find(":",tipp!T33))),1,if(right(tipp!T33,(len(tipp!T33)-find(":",tipp!T33)))&gt;left(tipp!T33,find(":",tipp!T33)-1),2,"x"))=tipp!$I33,tipp!$J33*pontozas!$B$1)+if(left(tipp!T33,find(":",tipp!T33)-1)-right(tipp!T33,(len(tipp!T33)-find(":",tipp!T33)))=tipp!$G33-tipp!$H33,pontozas!$B$2,0)+if(tipp!T33=tipp!$F33,pontozas!$B$3),""),"")</f>
        <v/>
      </c>
      <c r="L34" t="str">
        <f>if(L$1&lt;&gt;"",iferror(if(if(left(tipp!U33,find(":",tipp!U33)-1)&gt;right(tipp!U33,(len(tipp!U33)-find(":",tipp!U33))),1,if(right(tipp!U33,(len(tipp!U33)-find(":",tipp!U33)))&gt;left(tipp!U33,find(":",tipp!U33)-1),2,"x"))=tipp!$I33,tipp!$J33*pontozas!$B$1)+if(left(tipp!U33,find(":",tipp!U33)-1)-right(tipp!U33,(len(tipp!U33)-find(":",tipp!U33)))=tipp!$G33-tipp!$H33,pontozas!$B$2,0)+if(tipp!U33=tipp!$F33,pontozas!$B$3),""),"")</f>
        <v/>
      </c>
      <c r="M34" t="str">
        <f>if(M$1&lt;&gt;"",iferror(if(if(left(tipp!V33,find(":",tipp!V33)-1)&gt;right(tipp!V33,(len(tipp!V33)-find(":",tipp!V33))),1,if(right(tipp!V33,(len(tipp!V33)-find(":",tipp!V33)))&gt;left(tipp!V33,find(":",tipp!V33)-1),2,"x"))=tipp!$I33,tipp!$J33*pontozas!$B$1)+if(left(tipp!V33,find(":",tipp!V33)-1)-right(tipp!V33,(len(tipp!V33)-find(":",tipp!V33)))=tipp!$G33-tipp!$H33,pontozas!$B$2,0)+if(tipp!V33=tipp!$F33,pontozas!$B$3),""),"")</f>
        <v/>
      </c>
      <c r="N34" t="str">
        <f>if(N$1&lt;&gt;"",iferror(if(if(left(tipp!W33,find(":",tipp!W33)-1)&gt;right(tipp!W33,(len(tipp!W33)-find(":",tipp!W33))),1,if(right(tipp!W33,(len(tipp!W33)-find(":",tipp!W33)))&gt;left(tipp!W33,find(":",tipp!W33)-1),2,"x"))=tipp!$I33,tipp!$J33*pontozas!$B$1)+if(left(tipp!W33,find(":",tipp!W33)-1)-right(tipp!W33,(len(tipp!W33)-find(":",tipp!W33)))=tipp!$G33-tipp!$H33,pontozas!$B$2,0)+if(tipp!W33=tipp!$F33,pontozas!$B$3),""),"")</f>
        <v/>
      </c>
      <c r="O34" t="str">
        <f>if(O$1&lt;&gt;"",iferror(if(if(left(tipp!X33,find(":",tipp!X33)-1)&gt;right(tipp!X33,(len(tipp!X33)-find(":",tipp!X33))),1,if(right(tipp!X33,(len(tipp!X33)-find(":",tipp!X33)))&gt;left(tipp!X33,find(":",tipp!X33)-1),2,"x"))=tipp!$I33,tipp!$J33*pontozas!$B$1)+if(left(tipp!X33,find(":",tipp!X33)-1)-right(tipp!X33,(len(tipp!X33)-find(":",tipp!X33)))=tipp!$G33-tipp!$H33,pontozas!$B$2,0)+if(tipp!X33=tipp!$F33,pontozas!$B$3),""),"")</f>
        <v/>
      </c>
    </row>
    <row r="35">
      <c r="A35" t="str">
        <f>CONCATENATE(tipp!A34&amp;" : "&amp;tipp!B34)</f>
        <v>Czech Republic : Russia</v>
      </c>
      <c r="B35">
        <f>if(B$1&lt;&gt;"",iferror(if(if(left(tipp!K34,find(":",tipp!K34)-1)&gt;right(tipp!K34,(len(tipp!K34)-find(":",tipp!K34))),1,if(right(tipp!K34,(len(tipp!K34)-find(":",tipp!K34)))&gt;left(tipp!K34,find(":",tipp!K34)-1),2,"x"))=tipp!$I34,tipp!$J34*pontozas!$B$1)+if(left(tipp!K34,find(":",tipp!K34)-1)-right(tipp!K34,(len(tipp!K34)-find(":",tipp!K34)))=tipp!$G34-tipp!$H34,pontozas!$B$2,0)+if(tipp!K34=tipp!$F34,pontozas!$B$3),""),"")</f>
        <v>5.25</v>
      </c>
      <c r="C35">
        <f>if(C$1&lt;&gt;"",iferror(if(if(left(tipp!L34,find(":",tipp!L34)-1)&gt;right(tipp!L34,(len(tipp!L34)-find(":",tipp!L34))),1,if(right(tipp!L34,(len(tipp!L34)-find(":",tipp!L34)))&gt;left(tipp!L34,find(":",tipp!L34)-1),2,"x"))=tipp!$I34,tipp!$J34*pontozas!$B$1)+if(left(tipp!L34,find(":",tipp!L34)-1)-right(tipp!L34,(len(tipp!L34)-find(":",tipp!L34)))=tipp!$G34-tipp!$H34,pontozas!$B$2,0)+if(tipp!L34=tipp!$F34,pontozas!$B$3),""),"")</f>
        <v>0</v>
      </c>
      <c r="D35">
        <f>if(D$1&lt;&gt;"",iferror(if(if(left(tipp!M34,find(":",tipp!M34)-1)&gt;right(tipp!M34,(len(tipp!M34)-find(":",tipp!M34))),1,if(right(tipp!M34,(len(tipp!M34)-find(":",tipp!M34)))&gt;left(tipp!M34,find(":",tipp!M34)-1),2,"x"))=tipp!$I34,tipp!$J34*pontozas!$B$1)+if(left(tipp!M34,find(":",tipp!M34)-1)-right(tipp!M34,(len(tipp!M34)-find(":",tipp!M34)))=tipp!$G34-tipp!$H34,pontozas!$B$2,0)+if(tipp!M34=tipp!$F34,pontozas!$B$3),""),"")</f>
        <v>0</v>
      </c>
      <c r="E35">
        <f>if(E$1&lt;&gt;"",iferror(if(if(left(tipp!N34,find(":",tipp!N34)-1)&gt;right(tipp!N34,(len(tipp!N34)-find(":",tipp!N34))),1,if(right(tipp!N34,(len(tipp!N34)-find(":",tipp!N34)))&gt;left(tipp!N34,find(":",tipp!N34)-1),2,"x"))=tipp!$I34,tipp!$J34*pontozas!$B$1)+if(left(tipp!N34,find(":",tipp!N34)-1)-right(tipp!N34,(len(tipp!N34)-find(":",tipp!N34)))=tipp!$G34-tipp!$H34,pontozas!$B$2,0)+if(tipp!N34=tipp!$F34,pontozas!$B$3),""),"")</f>
        <v>0</v>
      </c>
      <c r="F35">
        <f>if(F$1&lt;&gt;"",iferror(if(if(left(tipp!O34,find(":",tipp!O34)-1)&gt;right(tipp!O34,(len(tipp!O34)-find(":",tipp!O34))),1,if(right(tipp!O34,(len(tipp!O34)-find(":",tipp!O34)))&gt;left(tipp!O34,find(":",tipp!O34)-1),2,"x"))=tipp!$I34,tipp!$J34*pontozas!$B$1)+if(left(tipp!O34,find(":",tipp!O34)-1)-right(tipp!O34,(len(tipp!O34)-find(":",tipp!O34)))=tipp!$G34-tipp!$H34,pontozas!$B$2,0)+if(tipp!O34=tipp!$F34,pontozas!$B$3),""),"")</f>
        <v>0</v>
      </c>
      <c r="G35" t="str">
        <f>if(G$1&lt;&gt;"",iferror(if(if(left(tipp!P34,find(":",tipp!P34)-1)&gt;right(tipp!P34,(len(tipp!P34)-find(":",tipp!P34))),1,if(right(tipp!P34,(len(tipp!P34)-find(":",tipp!P34)))&gt;left(tipp!P34,find(":",tipp!P34)-1),2,"x"))=tipp!$I34,tipp!$J34*pontozas!$B$1)+if(left(tipp!P34,find(":",tipp!P34)-1)-right(tipp!P34,(len(tipp!P34)-find(":",tipp!P34)))=tipp!$G34-tipp!$H34,pontozas!$B$2,0)+if(tipp!P34=tipp!$F34,pontozas!$B$3),""),"")</f>
        <v/>
      </c>
      <c r="H35">
        <f>if(H$1&lt;&gt;"",iferror(if(if(left(tipp!Q34,find(":",tipp!Q34)-1)&gt;right(tipp!Q34,(len(tipp!Q34)-find(":",tipp!Q34))),1,if(right(tipp!Q34,(len(tipp!Q34)-find(":",tipp!Q34)))&gt;left(tipp!Q34,find(":",tipp!Q34)-1),2,"x"))=tipp!$I34,tipp!$J34*pontozas!$B$1)+if(left(tipp!Q34,find(":",tipp!Q34)-1)-right(tipp!Q34,(len(tipp!Q34)-find(":",tipp!Q34)))=tipp!$G34-tipp!$H34,pontozas!$B$2,0)+if(tipp!Q34=tipp!$F34,pontozas!$B$3),""),"")</f>
        <v>0</v>
      </c>
      <c r="I35" t="str">
        <f>if(I$1&lt;&gt;"",iferror(if(if(left(tipp!R34,find(":",tipp!R34)-1)&gt;right(tipp!R34,(len(tipp!R34)-find(":",tipp!R34))),1,if(right(tipp!R34,(len(tipp!R34)-find(":",tipp!R34)))&gt;left(tipp!R34,find(":",tipp!R34)-1),2,"x"))=tipp!$I34,tipp!$J34*pontozas!$B$1)+if(left(tipp!R34,find(":",tipp!R34)-1)-right(tipp!R34,(len(tipp!R34)-find(":",tipp!R34)))=tipp!$G34-tipp!$H34,pontozas!$B$2,0)+if(tipp!R34=tipp!$F34,pontozas!$B$3),""),"")</f>
        <v/>
      </c>
      <c r="J35" t="str">
        <f>if(J$1&lt;&gt;"",iferror(if(if(left(tipp!S34,find(":",tipp!S34)-1)&gt;right(tipp!S34,(len(tipp!S34)-find(":",tipp!S34))),1,if(right(tipp!S34,(len(tipp!S34)-find(":",tipp!S34)))&gt;left(tipp!S34,find(":",tipp!S34)-1),2,"x"))=tipp!$I34,tipp!$J34*pontozas!$B$1)+if(left(tipp!S34,find(":",tipp!S34)-1)-right(tipp!S34,(len(tipp!S34)-find(":",tipp!S34)))=tipp!$G34-tipp!$H34,pontozas!$B$2,0)+if(tipp!S34=tipp!$F34,pontozas!$B$3),""),"")</f>
        <v/>
      </c>
      <c r="K35" t="str">
        <f>if(K$1&lt;&gt;"",iferror(if(if(left(tipp!T34,find(":",tipp!T34)-1)&gt;right(tipp!T34,(len(tipp!T34)-find(":",tipp!T34))),1,if(right(tipp!T34,(len(tipp!T34)-find(":",tipp!T34)))&gt;left(tipp!T34,find(":",tipp!T34)-1),2,"x"))=tipp!$I34,tipp!$J34*pontozas!$B$1)+if(left(tipp!T34,find(":",tipp!T34)-1)-right(tipp!T34,(len(tipp!T34)-find(":",tipp!T34)))=tipp!$G34-tipp!$H34,pontozas!$B$2,0)+if(tipp!T34=tipp!$F34,pontozas!$B$3),""),"")</f>
        <v/>
      </c>
      <c r="L35" t="str">
        <f>if(L$1&lt;&gt;"",iferror(if(if(left(tipp!U34,find(":",tipp!U34)-1)&gt;right(tipp!U34,(len(tipp!U34)-find(":",tipp!U34))),1,if(right(tipp!U34,(len(tipp!U34)-find(":",tipp!U34)))&gt;left(tipp!U34,find(":",tipp!U34)-1),2,"x"))=tipp!$I34,tipp!$J34*pontozas!$B$1)+if(left(tipp!U34,find(":",tipp!U34)-1)-right(tipp!U34,(len(tipp!U34)-find(":",tipp!U34)))=tipp!$G34-tipp!$H34,pontozas!$B$2,0)+if(tipp!U34=tipp!$F34,pontozas!$B$3),""),"")</f>
        <v/>
      </c>
      <c r="M35" t="str">
        <f>if(M$1&lt;&gt;"",iferror(if(if(left(tipp!V34,find(":",tipp!V34)-1)&gt;right(tipp!V34,(len(tipp!V34)-find(":",tipp!V34))),1,if(right(tipp!V34,(len(tipp!V34)-find(":",tipp!V34)))&gt;left(tipp!V34,find(":",tipp!V34)-1),2,"x"))=tipp!$I34,tipp!$J34*pontozas!$B$1)+if(left(tipp!V34,find(":",tipp!V34)-1)-right(tipp!V34,(len(tipp!V34)-find(":",tipp!V34)))=tipp!$G34-tipp!$H34,pontozas!$B$2,0)+if(tipp!V34=tipp!$F34,pontozas!$B$3),""),"")</f>
        <v/>
      </c>
      <c r="N35" t="str">
        <f>if(N$1&lt;&gt;"",iferror(if(if(left(tipp!W34,find(":",tipp!W34)-1)&gt;right(tipp!W34,(len(tipp!W34)-find(":",tipp!W34))),1,if(right(tipp!W34,(len(tipp!W34)-find(":",tipp!W34)))&gt;left(tipp!W34,find(":",tipp!W34)-1),2,"x"))=tipp!$I34,tipp!$J34*pontozas!$B$1)+if(left(tipp!W34,find(":",tipp!W34)-1)-right(tipp!W34,(len(tipp!W34)-find(":",tipp!W34)))=tipp!$G34-tipp!$H34,pontozas!$B$2,0)+if(tipp!W34=tipp!$F34,pontozas!$B$3),""),"")</f>
        <v/>
      </c>
      <c r="O35" t="str">
        <f>if(O$1&lt;&gt;"",iferror(if(if(left(tipp!X34,find(":",tipp!X34)-1)&gt;right(tipp!X34,(len(tipp!X34)-find(":",tipp!X34))),1,if(right(tipp!X34,(len(tipp!X34)-find(":",tipp!X34)))&gt;left(tipp!X34,find(":",tipp!X34)-1),2,"x"))=tipp!$I34,tipp!$J34*pontozas!$B$1)+if(left(tipp!X34,find(":",tipp!X34)-1)-right(tipp!X34,(len(tipp!X34)-find(":",tipp!X34)))=tipp!$G34-tipp!$H34,pontozas!$B$2,0)+if(tipp!X34=tipp!$F34,pontozas!$B$3),""),"")</f>
        <v/>
      </c>
    </row>
    <row r="36">
      <c r="A36" t="str">
        <f>CONCATENATE(tipp!A35&amp;" : "&amp;tipp!B35)</f>
        <v>United States : Latvia</v>
      </c>
      <c r="B36">
        <f>if(B$1&lt;&gt;"",iferror(if(if(left(tipp!K35,find(":",tipp!K35)-1)&gt;right(tipp!K35,(len(tipp!K35)-find(":",tipp!K35))),1,if(right(tipp!K35,(len(tipp!K35)-find(":",tipp!K35)))&gt;left(tipp!K35,find(":",tipp!K35)-1),2,"x"))=tipp!$I35,tipp!$J35*pontozas!$B$1)+if(left(tipp!K35,find(":",tipp!K35)-1)-right(tipp!K35,(len(tipp!K35)-find(":",tipp!K35)))=tipp!$G35-tipp!$H35,pontozas!$B$2,0)+if(tipp!K35=tipp!$F35,pontozas!$B$3),""),"")</f>
        <v>0</v>
      </c>
      <c r="C36">
        <f>if(C$1&lt;&gt;"",iferror(if(if(left(tipp!L35,find(":",tipp!L35)-1)&gt;right(tipp!L35,(len(tipp!L35)-find(":",tipp!L35))),1,if(right(tipp!L35,(len(tipp!L35)-find(":",tipp!L35)))&gt;left(tipp!L35,find(":",tipp!L35)-1),2,"x"))=tipp!$I35,tipp!$J35*pontozas!$B$1)+if(left(tipp!L35,find(":",tipp!L35)-1)-right(tipp!L35,(len(tipp!L35)-find(":",tipp!L35)))=tipp!$G35-tipp!$H35,pontozas!$B$2,0)+if(tipp!L35=tipp!$F35,pontozas!$B$3),""),"")</f>
        <v>0</v>
      </c>
      <c r="D36">
        <f>if(D$1&lt;&gt;"",iferror(if(if(left(tipp!M35,find(":",tipp!M35)-1)&gt;right(tipp!M35,(len(tipp!M35)-find(":",tipp!M35))),1,if(right(tipp!M35,(len(tipp!M35)-find(":",tipp!M35)))&gt;left(tipp!M35,find(":",tipp!M35)-1),2,"x"))=tipp!$I35,tipp!$J35*pontozas!$B$1)+if(left(tipp!M35,find(":",tipp!M35)-1)-right(tipp!M35,(len(tipp!M35)-find(":",tipp!M35)))=tipp!$G35-tipp!$H35,pontozas!$B$2,0)+if(tipp!M35=tipp!$F35,pontozas!$B$3),""),"")</f>
        <v>0</v>
      </c>
      <c r="E36">
        <f>if(E$1&lt;&gt;"",iferror(if(if(left(tipp!N35,find(":",tipp!N35)-1)&gt;right(tipp!N35,(len(tipp!N35)-find(":",tipp!N35))),1,if(right(tipp!N35,(len(tipp!N35)-find(":",tipp!N35)))&gt;left(tipp!N35,find(":",tipp!N35)-1),2,"x"))=tipp!$I35,tipp!$J35*pontozas!$B$1)+if(left(tipp!N35,find(":",tipp!N35)-1)-right(tipp!N35,(len(tipp!N35)-find(":",tipp!N35)))=tipp!$G35-tipp!$H35,pontozas!$B$2,0)+if(tipp!N35=tipp!$F35,pontozas!$B$3),""),"")</f>
        <v>0</v>
      </c>
      <c r="F36">
        <f>if(F$1&lt;&gt;"",iferror(if(if(left(tipp!O35,find(":",tipp!O35)-1)&gt;right(tipp!O35,(len(tipp!O35)-find(":",tipp!O35))),1,if(right(tipp!O35,(len(tipp!O35)-find(":",tipp!O35)))&gt;left(tipp!O35,find(":",tipp!O35)-1),2,"x"))=tipp!$I35,tipp!$J35*pontozas!$B$1)+if(left(tipp!O35,find(":",tipp!O35)-1)-right(tipp!O35,(len(tipp!O35)-find(":",tipp!O35)))=tipp!$G35-tipp!$H35,pontozas!$B$2,0)+if(tipp!O35=tipp!$F35,pontozas!$B$3),""),"")</f>
        <v>0</v>
      </c>
      <c r="G36" t="str">
        <f>if(G$1&lt;&gt;"",iferror(if(if(left(tipp!P35,find(":",tipp!P35)-1)&gt;right(tipp!P35,(len(tipp!P35)-find(":",tipp!P35))),1,if(right(tipp!P35,(len(tipp!P35)-find(":",tipp!P35)))&gt;left(tipp!P35,find(":",tipp!P35)-1),2,"x"))=tipp!$I35,tipp!$J35*pontozas!$B$1)+if(left(tipp!P35,find(":",tipp!P35)-1)-right(tipp!P35,(len(tipp!P35)-find(":",tipp!P35)))=tipp!$G35-tipp!$H35,pontozas!$B$2,0)+if(tipp!P35=tipp!$F35,pontozas!$B$3),""),"")</f>
        <v/>
      </c>
      <c r="H36">
        <f>if(H$1&lt;&gt;"",iferror(if(if(left(tipp!Q35,find(":",tipp!Q35)-1)&gt;right(tipp!Q35,(len(tipp!Q35)-find(":",tipp!Q35))),1,if(right(tipp!Q35,(len(tipp!Q35)-find(":",tipp!Q35)))&gt;left(tipp!Q35,find(":",tipp!Q35)-1),2,"x"))=tipp!$I35,tipp!$J35*pontozas!$B$1)+if(left(tipp!Q35,find(":",tipp!Q35)-1)-right(tipp!Q35,(len(tipp!Q35)-find(":",tipp!Q35)))=tipp!$G35-tipp!$H35,pontozas!$B$2,0)+if(tipp!Q35=tipp!$F35,pontozas!$B$3),""),"")</f>
        <v>0</v>
      </c>
      <c r="I36" t="str">
        <f>if(I$1&lt;&gt;"",iferror(if(if(left(tipp!R35,find(":",tipp!R35)-1)&gt;right(tipp!R35,(len(tipp!R35)-find(":",tipp!R35))),1,if(right(tipp!R35,(len(tipp!R35)-find(":",tipp!R35)))&gt;left(tipp!R35,find(":",tipp!R35)-1),2,"x"))=tipp!$I35,tipp!$J35*pontozas!$B$1)+if(left(tipp!R35,find(":",tipp!R35)-1)-right(tipp!R35,(len(tipp!R35)-find(":",tipp!R35)))=tipp!$G35-tipp!$H35,pontozas!$B$2,0)+if(tipp!R35=tipp!$F35,pontozas!$B$3),""),"")</f>
        <v/>
      </c>
      <c r="J36" t="str">
        <f>if(J$1&lt;&gt;"",iferror(if(if(left(tipp!S35,find(":",tipp!S35)-1)&gt;right(tipp!S35,(len(tipp!S35)-find(":",tipp!S35))),1,if(right(tipp!S35,(len(tipp!S35)-find(":",tipp!S35)))&gt;left(tipp!S35,find(":",tipp!S35)-1),2,"x"))=tipp!$I35,tipp!$J35*pontozas!$B$1)+if(left(tipp!S35,find(":",tipp!S35)-1)-right(tipp!S35,(len(tipp!S35)-find(":",tipp!S35)))=tipp!$G35-tipp!$H35,pontozas!$B$2,0)+if(tipp!S35=tipp!$F35,pontozas!$B$3),""),"")</f>
        <v/>
      </c>
      <c r="K36" t="str">
        <f>if(K$1&lt;&gt;"",iferror(if(if(left(tipp!T35,find(":",tipp!T35)-1)&gt;right(tipp!T35,(len(tipp!T35)-find(":",tipp!T35))),1,if(right(tipp!T35,(len(tipp!T35)-find(":",tipp!T35)))&gt;left(tipp!T35,find(":",tipp!T35)-1),2,"x"))=tipp!$I35,tipp!$J35*pontozas!$B$1)+if(left(tipp!T35,find(":",tipp!T35)-1)-right(tipp!T35,(len(tipp!T35)-find(":",tipp!T35)))=tipp!$G35-tipp!$H35,pontozas!$B$2,0)+if(tipp!T35=tipp!$F35,pontozas!$B$3),""),"")</f>
        <v/>
      </c>
      <c r="L36" t="str">
        <f>if(L$1&lt;&gt;"",iferror(if(if(left(tipp!U35,find(":",tipp!U35)-1)&gt;right(tipp!U35,(len(tipp!U35)-find(":",tipp!U35))),1,if(right(tipp!U35,(len(tipp!U35)-find(":",tipp!U35)))&gt;left(tipp!U35,find(":",tipp!U35)-1),2,"x"))=tipp!$I35,tipp!$J35*pontozas!$B$1)+if(left(tipp!U35,find(":",tipp!U35)-1)-right(tipp!U35,(len(tipp!U35)-find(":",tipp!U35)))=tipp!$G35-tipp!$H35,pontozas!$B$2,0)+if(tipp!U35=tipp!$F35,pontozas!$B$3),""),"")</f>
        <v/>
      </c>
      <c r="M36" t="str">
        <f>if(M$1&lt;&gt;"",iferror(if(if(left(tipp!V35,find(":",tipp!V35)-1)&gt;right(tipp!V35,(len(tipp!V35)-find(":",tipp!V35))),1,if(right(tipp!V35,(len(tipp!V35)-find(":",tipp!V35)))&gt;left(tipp!V35,find(":",tipp!V35)-1),2,"x"))=tipp!$I35,tipp!$J35*pontozas!$B$1)+if(left(tipp!V35,find(":",tipp!V35)-1)-right(tipp!V35,(len(tipp!V35)-find(":",tipp!V35)))=tipp!$G35-tipp!$H35,pontozas!$B$2,0)+if(tipp!V35=tipp!$F35,pontozas!$B$3),""),"")</f>
        <v/>
      </c>
      <c r="N36" t="str">
        <f>if(N$1&lt;&gt;"",iferror(if(if(left(tipp!W35,find(":",tipp!W35)-1)&gt;right(tipp!W35,(len(tipp!W35)-find(":",tipp!W35))),1,if(right(tipp!W35,(len(tipp!W35)-find(":",tipp!W35)))&gt;left(tipp!W35,find(":",tipp!W35)-1),2,"x"))=tipp!$I35,tipp!$J35*pontozas!$B$1)+if(left(tipp!W35,find(":",tipp!W35)-1)-right(tipp!W35,(len(tipp!W35)-find(":",tipp!W35)))=tipp!$G35-tipp!$H35,pontozas!$B$2,0)+if(tipp!W35=tipp!$F35,pontozas!$B$3),""),"")</f>
        <v/>
      </c>
      <c r="O36" t="str">
        <f>if(O$1&lt;&gt;"",iferror(if(if(left(tipp!X35,find(":",tipp!X35)-1)&gt;right(tipp!X35,(len(tipp!X35)-find(":",tipp!X35))),1,if(right(tipp!X35,(len(tipp!X35)-find(":",tipp!X35)))&gt;left(tipp!X35,find(":",tipp!X35)-1),2,"x"))=tipp!$I35,tipp!$J35*pontozas!$B$1)+if(left(tipp!X35,find(":",tipp!X35)-1)-right(tipp!X35,(len(tipp!X35)-find(":",tipp!X35)))=tipp!$G35-tipp!$H35,pontozas!$B$2,0)+if(tipp!X35=tipp!$F35,pontozas!$B$3),""),"")</f>
        <v/>
      </c>
    </row>
    <row r="37">
      <c r="A37" t="str">
        <f>CONCATENATE(tipp!A36&amp;" : "&amp;tipp!B36)</f>
        <v>Norway : Canada</v>
      </c>
      <c r="B37">
        <f>if(B$1&lt;&gt;"",iferror(if(if(left(tipp!K36,find(":",tipp!K36)-1)&gt;right(tipp!K36,(len(tipp!K36)-find(":",tipp!K36))),1,if(right(tipp!K36,(len(tipp!K36)-find(":",tipp!K36)))&gt;left(tipp!K36,find(":",tipp!K36)-1),2,"x"))=tipp!$I36,tipp!$J36*pontozas!$B$1)+if(left(tipp!K36,find(":",tipp!K36)-1)-right(tipp!K36,(len(tipp!K36)-find(":",tipp!K36)))=tipp!$G36-tipp!$H36,pontozas!$B$2,0)+if(tipp!K36=tipp!$F36,pontozas!$B$3),""),"")</f>
        <v>1.1</v>
      </c>
      <c r="C37">
        <f>if(C$1&lt;&gt;"",iferror(if(if(left(tipp!L36,find(":",tipp!L36)-1)&gt;right(tipp!L36,(len(tipp!L36)-find(":",tipp!L36))),1,if(right(tipp!L36,(len(tipp!L36)-find(":",tipp!L36)))&gt;left(tipp!L36,find(":",tipp!L36)-1),2,"x"))=tipp!$I36,tipp!$J36*pontozas!$B$1)+if(left(tipp!L36,find(":",tipp!L36)-1)-right(tipp!L36,(len(tipp!L36)-find(":",tipp!L36)))=tipp!$G36-tipp!$H36,pontozas!$B$2,0)+if(tipp!L36=tipp!$F36,pontozas!$B$3),""),"")</f>
        <v>1.1</v>
      </c>
      <c r="D37">
        <f>if(D$1&lt;&gt;"",iferror(if(if(left(tipp!M36,find(":",tipp!M36)-1)&gt;right(tipp!M36,(len(tipp!M36)-find(":",tipp!M36))),1,if(right(tipp!M36,(len(tipp!M36)-find(":",tipp!M36)))&gt;left(tipp!M36,find(":",tipp!M36)-1),2,"x"))=tipp!$I36,tipp!$J36*pontozas!$B$1)+if(left(tipp!M36,find(":",tipp!M36)-1)-right(tipp!M36,(len(tipp!M36)-find(":",tipp!M36)))=tipp!$G36-tipp!$H36,pontozas!$B$2,0)+if(tipp!M36=tipp!$F36,pontozas!$B$3),""),"")</f>
        <v>3.1</v>
      </c>
      <c r="E37">
        <f>if(E$1&lt;&gt;"",iferror(if(if(left(tipp!N36,find(":",tipp!N36)-1)&gt;right(tipp!N36,(len(tipp!N36)-find(":",tipp!N36))),1,if(right(tipp!N36,(len(tipp!N36)-find(":",tipp!N36)))&gt;left(tipp!N36,find(":",tipp!N36)-1),2,"x"))=tipp!$I36,tipp!$J36*pontozas!$B$1)+if(left(tipp!N36,find(":",tipp!N36)-1)-right(tipp!N36,(len(tipp!N36)-find(":",tipp!N36)))=tipp!$G36-tipp!$H36,pontozas!$B$2,0)+if(tipp!N36=tipp!$F36,pontozas!$B$3),""),"")</f>
        <v>1.1</v>
      </c>
      <c r="F37">
        <f>if(F$1&lt;&gt;"",iferror(if(if(left(tipp!O36,find(":",tipp!O36)-1)&gt;right(tipp!O36,(len(tipp!O36)-find(":",tipp!O36))),1,if(right(tipp!O36,(len(tipp!O36)-find(":",tipp!O36)))&gt;left(tipp!O36,find(":",tipp!O36)-1),2,"x"))=tipp!$I36,tipp!$J36*pontozas!$B$1)+if(left(tipp!O36,find(":",tipp!O36)-1)-right(tipp!O36,(len(tipp!O36)-find(":",tipp!O36)))=tipp!$G36-tipp!$H36,pontozas!$B$2,0)+if(tipp!O36=tipp!$F36,pontozas!$B$3),""),"")</f>
        <v>1.1</v>
      </c>
      <c r="G37" t="str">
        <f>if(G$1&lt;&gt;"",iferror(if(if(left(tipp!P36,find(":",tipp!P36)-1)&gt;right(tipp!P36,(len(tipp!P36)-find(":",tipp!P36))),1,if(right(tipp!P36,(len(tipp!P36)-find(":",tipp!P36)))&gt;left(tipp!P36,find(":",tipp!P36)-1),2,"x"))=tipp!$I36,tipp!$J36*pontozas!$B$1)+if(left(tipp!P36,find(":",tipp!P36)-1)-right(tipp!P36,(len(tipp!P36)-find(":",tipp!P36)))=tipp!$G36-tipp!$H36,pontozas!$B$2,0)+if(tipp!P36=tipp!$F36,pontozas!$B$3),""),"")</f>
        <v/>
      </c>
      <c r="H37">
        <f>if(H$1&lt;&gt;"",iferror(if(if(left(tipp!Q36,find(":",tipp!Q36)-1)&gt;right(tipp!Q36,(len(tipp!Q36)-find(":",tipp!Q36))),1,if(right(tipp!Q36,(len(tipp!Q36)-find(":",tipp!Q36)))&gt;left(tipp!Q36,find(":",tipp!Q36)-1),2,"x"))=tipp!$I36,tipp!$J36*pontozas!$B$1)+if(left(tipp!Q36,find(":",tipp!Q36)-1)-right(tipp!Q36,(len(tipp!Q36)-find(":",tipp!Q36)))=tipp!$G36-tipp!$H36,pontozas!$B$2,0)+if(tipp!Q36=tipp!$F36,pontozas!$B$3),""),"")</f>
        <v>1.1</v>
      </c>
      <c r="I37" t="str">
        <f>if(I$1&lt;&gt;"",iferror(if(if(left(tipp!R36,find(":",tipp!R36)-1)&gt;right(tipp!R36,(len(tipp!R36)-find(":",tipp!R36))),1,if(right(tipp!R36,(len(tipp!R36)-find(":",tipp!R36)))&gt;left(tipp!R36,find(":",tipp!R36)-1),2,"x"))=tipp!$I36,tipp!$J36*pontozas!$B$1)+if(left(tipp!R36,find(":",tipp!R36)-1)-right(tipp!R36,(len(tipp!R36)-find(":",tipp!R36)))=tipp!$G36-tipp!$H36,pontozas!$B$2,0)+if(tipp!R36=tipp!$F36,pontozas!$B$3),""),"")</f>
        <v/>
      </c>
      <c r="J37" t="str">
        <f>if(J$1&lt;&gt;"",iferror(if(if(left(tipp!S36,find(":",tipp!S36)-1)&gt;right(tipp!S36,(len(tipp!S36)-find(":",tipp!S36))),1,if(right(tipp!S36,(len(tipp!S36)-find(":",tipp!S36)))&gt;left(tipp!S36,find(":",tipp!S36)-1),2,"x"))=tipp!$I36,tipp!$J36*pontozas!$B$1)+if(left(tipp!S36,find(":",tipp!S36)-1)-right(tipp!S36,(len(tipp!S36)-find(":",tipp!S36)))=tipp!$G36-tipp!$H36,pontozas!$B$2,0)+if(tipp!S36=tipp!$F36,pontozas!$B$3),""),"")</f>
        <v/>
      </c>
      <c r="K37" t="str">
        <f>if(K$1&lt;&gt;"",iferror(if(if(left(tipp!T36,find(":",tipp!T36)-1)&gt;right(tipp!T36,(len(tipp!T36)-find(":",tipp!T36))),1,if(right(tipp!T36,(len(tipp!T36)-find(":",tipp!T36)))&gt;left(tipp!T36,find(":",tipp!T36)-1),2,"x"))=tipp!$I36,tipp!$J36*pontozas!$B$1)+if(left(tipp!T36,find(":",tipp!T36)-1)-right(tipp!T36,(len(tipp!T36)-find(":",tipp!T36)))=tipp!$G36-tipp!$H36,pontozas!$B$2,0)+if(tipp!T36=tipp!$F36,pontozas!$B$3),""),"")</f>
        <v/>
      </c>
      <c r="L37" t="str">
        <f>if(L$1&lt;&gt;"",iferror(if(if(left(tipp!U36,find(":",tipp!U36)-1)&gt;right(tipp!U36,(len(tipp!U36)-find(":",tipp!U36))),1,if(right(tipp!U36,(len(tipp!U36)-find(":",tipp!U36)))&gt;left(tipp!U36,find(":",tipp!U36)-1),2,"x"))=tipp!$I36,tipp!$J36*pontozas!$B$1)+if(left(tipp!U36,find(":",tipp!U36)-1)-right(tipp!U36,(len(tipp!U36)-find(":",tipp!U36)))=tipp!$G36-tipp!$H36,pontozas!$B$2,0)+if(tipp!U36=tipp!$F36,pontozas!$B$3),""),"")</f>
        <v/>
      </c>
      <c r="M37" t="str">
        <f>if(M$1&lt;&gt;"",iferror(if(if(left(tipp!V36,find(":",tipp!V36)-1)&gt;right(tipp!V36,(len(tipp!V36)-find(":",tipp!V36))),1,if(right(tipp!V36,(len(tipp!V36)-find(":",tipp!V36)))&gt;left(tipp!V36,find(":",tipp!V36)-1),2,"x"))=tipp!$I36,tipp!$J36*pontozas!$B$1)+if(left(tipp!V36,find(":",tipp!V36)-1)-right(tipp!V36,(len(tipp!V36)-find(":",tipp!V36)))=tipp!$G36-tipp!$H36,pontozas!$B$2,0)+if(tipp!V36=tipp!$F36,pontozas!$B$3),""),"")</f>
        <v/>
      </c>
      <c r="N37" t="str">
        <f>if(N$1&lt;&gt;"",iferror(if(if(left(tipp!W36,find(":",tipp!W36)-1)&gt;right(tipp!W36,(len(tipp!W36)-find(":",tipp!W36))),1,if(right(tipp!W36,(len(tipp!W36)-find(":",tipp!W36)))&gt;left(tipp!W36,find(":",tipp!W36)-1),2,"x"))=tipp!$I36,tipp!$J36*pontozas!$B$1)+if(left(tipp!W36,find(":",tipp!W36)-1)-right(tipp!W36,(len(tipp!W36)-find(":",tipp!W36)))=tipp!$G36-tipp!$H36,pontozas!$B$2,0)+if(tipp!W36=tipp!$F36,pontozas!$B$3),""),"")</f>
        <v/>
      </c>
      <c r="O37" t="str">
        <f>if(O$1&lt;&gt;"",iferror(if(if(left(tipp!X36,find(":",tipp!X36)-1)&gt;right(tipp!X36,(len(tipp!X36)-find(":",tipp!X36))),1,if(right(tipp!X36,(len(tipp!X36)-find(":",tipp!X36)))&gt;left(tipp!X36,find(":",tipp!X36)-1),2,"x"))=tipp!$I36,tipp!$J36*pontozas!$B$1)+if(left(tipp!X36,find(":",tipp!X36)-1)-right(tipp!X36,(len(tipp!X36)-find(":",tipp!X36)))=tipp!$G36-tipp!$H36,pontozas!$B$2,0)+if(tipp!X36=tipp!$F36,pontozas!$B$3),""),"")</f>
        <v/>
      </c>
    </row>
    <row r="38">
      <c r="A38" t="str">
        <f>CONCATENATE(tipp!A37&amp;" : "&amp;tipp!B37)</f>
        <v>France : Austria</v>
      </c>
      <c r="B38">
        <f>if(B$1&lt;&gt;"",iferror(if(if(left(tipp!K37,find(":",tipp!K37)-1)&gt;right(tipp!K37,(len(tipp!K37)-find(":",tipp!K37))),1,if(right(tipp!K37,(len(tipp!K37)-find(":",tipp!K37)))&gt;left(tipp!K37,find(":",tipp!K37)-1),2,"x"))=tipp!$I37,tipp!$J37*pontozas!$B$1)+if(left(tipp!K37,find(":",tipp!K37)-1)-right(tipp!K37,(len(tipp!K37)-find(":",tipp!K37)))=tipp!$G37-tipp!$H37,pontozas!$B$2,0)+if(tipp!K37=tipp!$F37,pontozas!$B$3),""),"")</f>
        <v>0</v>
      </c>
      <c r="C38">
        <f>if(C$1&lt;&gt;"",iferror(if(if(left(tipp!L37,find(":",tipp!L37)-1)&gt;right(tipp!L37,(len(tipp!L37)-find(":",tipp!L37))),1,if(right(tipp!L37,(len(tipp!L37)-find(":",tipp!L37)))&gt;left(tipp!L37,find(":",tipp!L37)-1),2,"x"))=tipp!$I37,tipp!$J37*pontozas!$B$1)+if(left(tipp!L37,find(":",tipp!L37)-1)-right(tipp!L37,(len(tipp!L37)-find(":",tipp!L37)))=tipp!$G37-tipp!$H37,pontozas!$B$2,0)+if(tipp!L37=tipp!$F37,pontozas!$B$3),""),"")</f>
        <v>1.75</v>
      </c>
      <c r="D38">
        <f>if(D$1&lt;&gt;"",iferror(if(if(left(tipp!M37,find(":",tipp!M37)-1)&gt;right(tipp!M37,(len(tipp!M37)-find(":",tipp!M37))),1,if(right(tipp!M37,(len(tipp!M37)-find(":",tipp!M37)))&gt;left(tipp!M37,find(":",tipp!M37)-1),2,"x"))=tipp!$I37,tipp!$J37*pontozas!$B$1)+if(left(tipp!M37,find(":",tipp!M37)-1)-right(tipp!M37,(len(tipp!M37)-find(":",tipp!M37)))=tipp!$G37-tipp!$H37,pontozas!$B$2,0)+if(tipp!M37=tipp!$F37,pontozas!$B$3),""),"")</f>
        <v>0</v>
      </c>
      <c r="E38">
        <f>if(E$1&lt;&gt;"",iferror(if(if(left(tipp!N37,find(":",tipp!N37)-1)&gt;right(tipp!N37,(len(tipp!N37)-find(":",tipp!N37))),1,if(right(tipp!N37,(len(tipp!N37)-find(":",tipp!N37)))&gt;left(tipp!N37,find(":",tipp!N37)-1),2,"x"))=tipp!$I37,tipp!$J37*pontozas!$B$1)+if(left(tipp!N37,find(":",tipp!N37)-1)-right(tipp!N37,(len(tipp!N37)-find(":",tipp!N37)))=tipp!$G37-tipp!$H37,pontozas!$B$2,0)+if(tipp!N37=tipp!$F37,pontozas!$B$3),""),"")</f>
        <v>1.75</v>
      </c>
      <c r="F38">
        <f>if(F$1&lt;&gt;"",iferror(if(if(left(tipp!O37,find(":",tipp!O37)-1)&gt;right(tipp!O37,(len(tipp!O37)-find(":",tipp!O37))),1,if(right(tipp!O37,(len(tipp!O37)-find(":",tipp!O37)))&gt;left(tipp!O37,find(":",tipp!O37)-1),2,"x"))=tipp!$I37,tipp!$J37*pontozas!$B$1)+if(left(tipp!O37,find(":",tipp!O37)-1)-right(tipp!O37,(len(tipp!O37)-find(":",tipp!O37)))=tipp!$G37-tipp!$H37,pontozas!$B$2,0)+if(tipp!O37=tipp!$F37,pontozas!$B$3),""),"")</f>
        <v>0</v>
      </c>
      <c r="G38" t="str">
        <f>if(G$1&lt;&gt;"",iferror(if(if(left(tipp!P37,find(":",tipp!P37)-1)&gt;right(tipp!P37,(len(tipp!P37)-find(":",tipp!P37))),1,if(right(tipp!P37,(len(tipp!P37)-find(":",tipp!P37)))&gt;left(tipp!P37,find(":",tipp!P37)-1),2,"x"))=tipp!$I37,tipp!$J37*pontozas!$B$1)+if(left(tipp!P37,find(":",tipp!P37)-1)-right(tipp!P37,(len(tipp!P37)-find(":",tipp!P37)))=tipp!$G37-tipp!$H37,pontozas!$B$2,0)+if(tipp!P37=tipp!$F37,pontozas!$B$3),""),"")</f>
        <v/>
      </c>
      <c r="H38">
        <f>if(H$1&lt;&gt;"",iferror(if(if(left(tipp!Q37,find(":",tipp!Q37)-1)&gt;right(tipp!Q37,(len(tipp!Q37)-find(":",tipp!Q37))),1,if(right(tipp!Q37,(len(tipp!Q37)-find(":",tipp!Q37)))&gt;left(tipp!Q37,find(":",tipp!Q37)-1),2,"x"))=tipp!$I37,tipp!$J37*pontozas!$B$1)+if(left(tipp!Q37,find(":",tipp!Q37)-1)-right(tipp!Q37,(len(tipp!Q37)-find(":",tipp!Q37)))=tipp!$G37-tipp!$H37,pontozas!$B$2,0)+if(tipp!Q37=tipp!$F37,pontozas!$B$3),""),"")</f>
        <v>0</v>
      </c>
      <c r="I38" t="str">
        <f>if(I$1&lt;&gt;"",iferror(if(if(left(tipp!R37,find(":",tipp!R37)-1)&gt;right(tipp!R37,(len(tipp!R37)-find(":",tipp!R37))),1,if(right(tipp!R37,(len(tipp!R37)-find(":",tipp!R37)))&gt;left(tipp!R37,find(":",tipp!R37)-1),2,"x"))=tipp!$I37,tipp!$J37*pontozas!$B$1)+if(left(tipp!R37,find(":",tipp!R37)-1)-right(tipp!R37,(len(tipp!R37)-find(":",tipp!R37)))=tipp!$G37-tipp!$H37,pontozas!$B$2,0)+if(tipp!R37=tipp!$F37,pontozas!$B$3),""),"")</f>
        <v/>
      </c>
      <c r="J38" t="str">
        <f>if(J$1&lt;&gt;"",iferror(if(if(left(tipp!S37,find(":",tipp!S37)-1)&gt;right(tipp!S37,(len(tipp!S37)-find(":",tipp!S37))),1,if(right(tipp!S37,(len(tipp!S37)-find(":",tipp!S37)))&gt;left(tipp!S37,find(":",tipp!S37)-1),2,"x"))=tipp!$I37,tipp!$J37*pontozas!$B$1)+if(left(tipp!S37,find(":",tipp!S37)-1)-right(tipp!S37,(len(tipp!S37)-find(":",tipp!S37)))=tipp!$G37-tipp!$H37,pontozas!$B$2,0)+if(tipp!S37=tipp!$F37,pontozas!$B$3),""),"")</f>
        <v/>
      </c>
      <c r="K38" t="str">
        <f>if(K$1&lt;&gt;"",iferror(if(if(left(tipp!T37,find(":",tipp!T37)-1)&gt;right(tipp!T37,(len(tipp!T37)-find(":",tipp!T37))),1,if(right(tipp!T37,(len(tipp!T37)-find(":",tipp!T37)))&gt;left(tipp!T37,find(":",tipp!T37)-1),2,"x"))=tipp!$I37,tipp!$J37*pontozas!$B$1)+if(left(tipp!T37,find(":",tipp!T37)-1)-right(tipp!T37,(len(tipp!T37)-find(":",tipp!T37)))=tipp!$G37-tipp!$H37,pontozas!$B$2,0)+if(tipp!T37=tipp!$F37,pontozas!$B$3),""),"")</f>
        <v/>
      </c>
      <c r="L38" t="str">
        <f>if(L$1&lt;&gt;"",iferror(if(if(left(tipp!U37,find(":",tipp!U37)-1)&gt;right(tipp!U37,(len(tipp!U37)-find(":",tipp!U37))),1,if(right(tipp!U37,(len(tipp!U37)-find(":",tipp!U37)))&gt;left(tipp!U37,find(":",tipp!U37)-1),2,"x"))=tipp!$I37,tipp!$J37*pontozas!$B$1)+if(left(tipp!U37,find(":",tipp!U37)-1)-right(tipp!U37,(len(tipp!U37)-find(":",tipp!U37)))=tipp!$G37-tipp!$H37,pontozas!$B$2,0)+if(tipp!U37=tipp!$F37,pontozas!$B$3),""),"")</f>
        <v/>
      </c>
      <c r="M38" t="str">
        <f>if(M$1&lt;&gt;"",iferror(if(if(left(tipp!V37,find(":",tipp!V37)-1)&gt;right(tipp!V37,(len(tipp!V37)-find(":",tipp!V37))),1,if(right(tipp!V37,(len(tipp!V37)-find(":",tipp!V37)))&gt;left(tipp!V37,find(":",tipp!V37)-1),2,"x"))=tipp!$I37,tipp!$J37*pontozas!$B$1)+if(left(tipp!V37,find(":",tipp!V37)-1)-right(tipp!V37,(len(tipp!V37)-find(":",tipp!V37)))=tipp!$G37-tipp!$H37,pontozas!$B$2,0)+if(tipp!V37=tipp!$F37,pontozas!$B$3),""),"")</f>
        <v/>
      </c>
      <c r="N38" t="str">
        <f>if(N$1&lt;&gt;"",iferror(if(if(left(tipp!W37,find(":",tipp!W37)-1)&gt;right(tipp!W37,(len(tipp!W37)-find(":",tipp!W37))),1,if(right(tipp!W37,(len(tipp!W37)-find(":",tipp!W37)))&gt;left(tipp!W37,find(":",tipp!W37)-1),2,"x"))=tipp!$I37,tipp!$J37*pontozas!$B$1)+if(left(tipp!W37,find(":",tipp!W37)-1)-right(tipp!W37,(len(tipp!W37)-find(":",tipp!W37)))=tipp!$G37-tipp!$H37,pontozas!$B$2,0)+if(tipp!W37=tipp!$F37,pontozas!$B$3),""),"")</f>
        <v/>
      </c>
      <c r="O38" t="str">
        <f>if(O$1&lt;&gt;"",iferror(if(if(left(tipp!X37,find(":",tipp!X37)-1)&gt;right(tipp!X37,(len(tipp!X37)-find(":",tipp!X37))),1,if(right(tipp!X37,(len(tipp!X37)-find(":",tipp!X37)))&gt;left(tipp!X37,find(":",tipp!X37)-1),2,"x"))=tipp!$I37,tipp!$J37*pontozas!$B$1)+if(left(tipp!X37,find(":",tipp!X37)-1)-right(tipp!X37,(len(tipp!X37)-find(":",tipp!X37)))=tipp!$G37-tipp!$H37,pontozas!$B$2,0)+if(tipp!X37=tipp!$F37,pontozas!$B$3),""),"")</f>
        <v/>
      </c>
    </row>
    <row r="39">
      <c r="A39" t="str">
        <f>CONCATENATE(tipp!A38&amp;" : "&amp;tipp!B38)</f>
        <v>Belarus : Czech Republic</v>
      </c>
      <c r="B39">
        <f>if(B$1&lt;&gt;"",iferror(if(if(left(tipp!K38,find(":",tipp!K38)-1)&gt;right(tipp!K38,(len(tipp!K38)-find(":",tipp!K38))),1,if(right(tipp!K38,(len(tipp!K38)-find(":",tipp!K38)))&gt;left(tipp!K38,find(":",tipp!K38)-1),2,"x"))=tipp!$I38,tipp!$J38*pontozas!$B$1)+if(left(tipp!K38,find(":",tipp!K38)-1)-right(tipp!K38,(len(tipp!K38)-find(":",tipp!K38)))=tipp!$G38-tipp!$H38,pontozas!$B$2,0)+if(tipp!K38=tipp!$F38,pontozas!$B$3),""),"")</f>
        <v>0</v>
      </c>
      <c r="C39">
        <f>if(C$1&lt;&gt;"",iferror(if(if(left(tipp!L38,find(":",tipp!L38)-1)&gt;right(tipp!L38,(len(tipp!L38)-find(":",tipp!L38))),1,if(right(tipp!L38,(len(tipp!L38)-find(":",tipp!L38)))&gt;left(tipp!L38,find(":",tipp!L38)-1),2,"x"))=tipp!$I38,tipp!$J38*pontozas!$B$1)+if(left(tipp!L38,find(":",tipp!L38)-1)-right(tipp!L38,(len(tipp!L38)-find(":",tipp!L38)))=tipp!$G38-tipp!$H38,pontozas!$B$2,0)+if(tipp!L38=tipp!$F38,pontozas!$B$3),""),"")</f>
        <v>1.25</v>
      </c>
      <c r="D39">
        <f>if(D$1&lt;&gt;"",iferror(if(if(left(tipp!M38,find(":",tipp!M38)-1)&gt;right(tipp!M38,(len(tipp!M38)-find(":",tipp!M38))),1,if(right(tipp!M38,(len(tipp!M38)-find(":",tipp!M38)))&gt;left(tipp!M38,find(":",tipp!M38)-1),2,"x"))=tipp!$I38,tipp!$J38*pontozas!$B$1)+if(left(tipp!M38,find(":",tipp!M38)-1)-right(tipp!M38,(len(tipp!M38)-find(":",tipp!M38)))=tipp!$G38-tipp!$H38,pontozas!$B$2,0)+if(tipp!M38=tipp!$F38,pontozas!$B$3),""),"")</f>
        <v>1.25</v>
      </c>
      <c r="E39">
        <f>if(E$1&lt;&gt;"",iferror(if(if(left(tipp!N38,find(":",tipp!N38)-1)&gt;right(tipp!N38,(len(tipp!N38)-find(":",tipp!N38))),1,if(right(tipp!N38,(len(tipp!N38)-find(":",tipp!N38)))&gt;left(tipp!N38,find(":",tipp!N38)-1),2,"x"))=tipp!$I38,tipp!$J38*pontozas!$B$1)+if(left(tipp!N38,find(":",tipp!N38)-1)-right(tipp!N38,(len(tipp!N38)-find(":",tipp!N38)))=tipp!$G38-tipp!$H38,pontozas!$B$2,0)+if(tipp!N38=tipp!$F38,pontozas!$B$3),""),"")</f>
        <v>2.25</v>
      </c>
      <c r="F39">
        <f>if(F$1&lt;&gt;"",iferror(if(if(left(tipp!O38,find(":",tipp!O38)-1)&gt;right(tipp!O38,(len(tipp!O38)-find(":",tipp!O38))),1,if(right(tipp!O38,(len(tipp!O38)-find(":",tipp!O38)))&gt;left(tipp!O38,find(":",tipp!O38)-1),2,"x"))=tipp!$I38,tipp!$J38*pontozas!$B$1)+if(left(tipp!O38,find(":",tipp!O38)-1)-right(tipp!O38,(len(tipp!O38)-find(":",tipp!O38)))=tipp!$G38-tipp!$H38,pontozas!$B$2,0)+if(tipp!O38=tipp!$F38,pontozas!$B$3),""),"")</f>
        <v>2.25</v>
      </c>
      <c r="G39" t="str">
        <f>if(G$1&lt;&gt;"",iferror(if(if(left(tipp!P38,find(":",tipp!P38)-1)&gt;right(tipp!P38,(len(tipp!P38)-find(":",tipp!P38))),1,if(right(tipp!P38,(len(tipp!P38)-find(":",tipp!P38)))&gt;left(tipp!P38,find(":",tipp!P38)-1),2,"x"))=tipp!$I38,tipp!$J38*pontozas!$B$1)+if(left(tipp!P38,find(":",tipp!P38)-1)-right(tipp!P38,(len(tipp!P38)-find(":",tipp!P38)))=tipp!$G38-tipp!$H38,pontozas!$B$2,0)+if(tipp!P38=tipp!$F38,pontozas!$B$3),""),"")</f>
        <v/>
      </c>
      <c r="H39">
        <f>if(H$1&lt;&gt;"",iferror(if(if(left(tipp!Q38,find(":",tipp!Q38)-1)&gt;right(tipp!Q38,(len(tipp!Q38)-find(":",tipp!Q38))),1,if(right(tipp!Q38,(len(tipp!Q38)-find(":",tipp!Q38)))&gt;left(tipp!Q38,find(":",tipp!Q38)-1),2,"x"))=tipp!$I38,tipp!$J38*pontozas!$B$1)+if(left(tipp!Q38,find(":",tipp!Q38)-1)-right(tipp!Q38,(len(tipp!Q38)-find(":",tipp!Q38)))=tipp!$G38-tipp!$H38,pontozas!$B$2,0)+if(tipp!Q38=tipp!$F38,pontozas!$B$3),""),"")</f>
        <v>2.25</v>
      </c>
      <c r="I39" t="str">
        <f>if(I$1&lt;&gt;"",iferror(if(if(left(tipp!R38,find(":",tipp!R38)-1)&gt;right(tipp!R38,(len(tipp!R38)-find(":",tipp!R38))),1,if(right(tipp!R38,(len(tipp!R38)-find(":",tipp!R38)))&gt;left(tipp!R38,find(":",tipp!R38)-1),2,"x"))=tipp!$I38,tipp!$J38*pontozas!$B$1)+if(left(tipp!R38,find(":",tipp!R38)-1)-right(tipp!R38,(len(tipp!R38)-find(":",tipp!R38)))=tipp!$G38-tipp!$H38,pontozas!$B$2,0)+if(tipp!R38=tipp!$F38,pontozas!$B$3),""),"")</f>
        <v/>
      </c>
      <c r="J39" t="str">
        <f>if(J$1&lt;&gt;"",iferror(if(if(left(tipp!S38,find(":",tipp!S38)-1)&gt;right(tipp!S38,(len(tipp!S38)-find(":",tipp!S38))),1,if(right(tipp!S38,(len(tipp!S38)-find(":",tipp!S38)))&gt;left(tipp!S38,find(":",tipp!S38)-1),2,"x"))=tipp!$I38,tipp!$J38*pontozas!$B$1)+if(left(tipp!S38,find(":",tipp!S38)-1)-right(tipp!S38,(len(tipp!S38)-find(":",tipp!S38)))=tipp!$G38-tipp!$H38,pontozas!$B$2,0)+if(tipp!S38=tipp!$F38,pontozas!$B$3),""),"")</f>
        <v/>
      </c>
      <c r="K39" t="str">
        <f>if(K$1&lt;&gt;"",iferror(if(if(left(tipp!T38,find(":",tipp!T38)-1)&gt;right(tipp!T38,(len(tipp!T38)-find(":",tipp!T38))),1,if(right(tipp!T38,(len(tipp!T38)-find(":",tipp!T38)))&gt;left(tipp!T38,find(":",tipp!T38)-1),2,"x"))=tipp!$I38,tipp!$J38*pontozas!$B$1)+if(left(tipp!T38,find(":",tipp!T38)-1)-right(tipp!T38,(len(tipp!T38)-find(":",tipp!T38)))=tipp!$G38-tipp!$H38,pontozas!$B$2,0)+if(tipp!T38=tipp!$F38,pontozas!$B$3),""),"")</f>
        <v/>
      </c>
      <c r="L39" t="str">
        <f>if(L$1&lt;&gt;"",iferror(if(if(left(tipp!U38,find(":",tipp!U38)-1)&gt;right(tipp!U38,(len(tipp!U38)-find(":",tipp!U38))),1,if(right(tipp!U38,(len(tipp!U38)-find(":",tipp!U38)))&gt;left(tipp!U38,find(":",tipp!U38)-1),2,"x"))=tipp!$I38,tipp!$J38*pontozas!$B$1)+if(left(tipp!U38,find(":",tipp!U38)-1)-right(tipp!U38,(len(tipp!U38)-find(":",tipp!U38)))=tipp!$G38-tipp!$H38,pontozas!$B$2,0)+if(tipp!U38=tipp!$F38,pontozas!$B$3),""),"")</f>
        <v/>
      </c>
      <c r="M39" t="str">
        <f>if(M$1&lt;&gt;"",iferror(if(if(left(tipp!V38,find(":",tipp!V38)-1)&gt;right(tipp!V38,(len(tipp!V38)-find(":",tipp!V38))),1,if(right(tipp!V38,(len(tipp!V38)-find(":",tipp!V38)))&gt;left(tipp!V38,find(":",tipp!V38)-1),2,"x"))=tipp!$I38,tipp!$J38*pontozas!$B$1)+if(left(tipp!V38,find(":",tipp!V38)-1)-right(tipp!V38,(len(tipp!V38)-find(":",tipp!V38)))=tipp!$G38-tipp!$H38,pontozas!$B$2,0)+if(tipp!V38=tipp!$F38,pontozas!$B$3),""),"")</f>
        <v/>
      </c>
      <c r="N39" t="str">
        <f>if(N$1&lt;&gt;"",iferror(if(if(left(tipp!W38,find(":",tipp!W38)-1)&gt;right(tipp!W38,(len(tipp!W38)-find(":",tipp!W38))),1,if(right(tipp!W38,(len(tipp!W38)-find(":",tipp!W38)))&gt;left(tipp!W38,find(":",tipp!W38)-1),2,"x"))=tipp!$I38,tipp!$J38*pontozas!$B$1)+if(left(tipp!W38,find(":",tipp!W38)-1)-right(tipp!W38,(len(tipp!W38)-find(":",tipp!W38)))=tipp!$G38-tipp!$H38,pontozas!$B$2,0)+if(tipp!W38=tipp!$F38,pontozas!$B$3),""),"")</f>
        <v/>
      </c>
      <c r="O39" t="str">
        <f>if(O$1&lt;&gt;"",iferror(if(if(left(tipp!X38,find(":",tipp!X38)-1)&gt;right(tipp!X38,(len(tipp!X38)-find(":",tipp!X38))),1,if(right(tipp!X38,(len(tipp!X38)-find(":",tipp!X38)))&gt;left(tipp!X38,find(":",tipp!X38)-1),2,"x"))=tipp!$I38,tipp!$J38*pontozas!$B$1)+if(left(tipp!X38,find(":",tipp!X38)-1)-right(tipp!X38,(len(tipp!X38)-find(":",tipp!X38)))=tipp!$G38-tipp!$H38,pontozas!$B$2,0)+if(tipp!X38=tipp!$F38,pontozas!$B$3),""),"")</f>
        <v/>
      </c>
    </row>
    <row r="40">
      <c r="A40" t="str">
        <f>CONCATENATE(tipp!A39&amp;" : "&amp;tipp!B39)</f>
        <v>Denmark : Norway</v>
      </c>
      <c r="B40">
        <f>if(B$1&lt;&gt;"",iferror(if(if(left(tipp!K39,find(":",tipp!K39)-1)&gt;right(tipp!K39,(len(tipp!K39)-find(":",tipp!K39))),1,if(right(tipp!K39,(len(tipp!K39)-find(":",tipp!K39)))&gt;left(tipp!K39,find(":",tipp!K39)-1),2,"x"))=tipp!$I39,tipp!$J39*pontozas!$B$1)+if(left(tipp!K39,find(":",tipp!K39)-1)-right(tipp!K39,(len(tipp!K39)-find(":",tipp!K39)))=tipp!$G39-tipp!$H39,pontozas!$B$2,0)+if(tipp!K39=tipp!$F39,pontozas!$B$3),""),"")</f>
        <v>0</v>
      </c>
      <c r="C40">
        <f>if(C$1&lt;&gt;"",iferror(if(if(left(tipp!L39,find(":",tipp!L39)-1)&gt;right(tipp!L39,(len(tipp!L39)-find(":",tipp!L39))),1,if(right(tipp!L39,(len(tipp!L39)-find(":",tipp!L39)))&gt;left(tipp!L39,find(":",tipp!L39)-1),2,"x"))=tipp!$I39,tipp!$J39*pontozas!$B$1)+if(left(tipp!L39,find(":",tipp!L39)-1)-right(tipp!L39,(len(tipp!L39)-find(":",tipp!L39)))=tipp!$G39-tipp!$H39,pontozas!$B$2,0)+if(tipp!L39=tipp!$F39,pontozas!$B$3),""),"")</f>
        <v>0</v>
      </c>
      <c r="D40">
        <f>if(D$1&lt;&gt;"",iferror(if(if(left(tipp!M39,find(":",tipp!M39)-1)&gt;right(tipp!M39,(len(tipp!M39)-find(":",tipp!M39))),1,if(right(tipp!M39,(len(tipp!M39)-find(":",tipp!M39)))&gt;left(tipp!M39,find(":",tipp!M39)-1),2,"x"))=tipp!$I39,tipp!$J39*pontozas!$B$1)+if(left(tipp!M39,find(":",tipp!M39)-1)-right(tipp!M39,(len(tipp!M39)-find(":",tipp!M39)))=tipp!$G39-tipp!$H39,pontozas!$B$2,0)+if(tipp!M39=tipp!$F39,pontozas!$B$3),""),"")</f>
        <v>0</v>
      </c>
      <c r="E40">
        <f>if(E$1&lt;&gt;"",iferror(if(if(left(tipp!N39,find(":",tipp!N39)-1)&gt;right(tipp!N39,(len(tipp!N39)-find(":",tipp!N39))),1,if(right(tipp!N39,(len(tipp!N39)-find(":",tipp!N39)))&gt;left(tipp!N39,find(":",tipp!N39)-1),2,"x"))=tipp!$I39,tipp!$J39*pontozas!$B$1)+if(left(tipp!N39,find(":",tipp!N39)-1)-right(tipp!N39,(len(tipp!N39)-find(":",tipp!N39)))=tipp!$G39-tipp!$H39,pontozas!$B$2,0)+if(tipp!N39=tipp!$F39,pontozas!$B$3),""),"")</f>
        <v>2.1</v>
      </c>
      <c r="F40">
        <f>if(F$1&lt;&gt;"",iferror(if(if(left(tipp!O39,find(":",tipp!O39)-1)&gt;right(tipp!O39,(len(tipp!O39)-find(":",tipp!O39))),1,if(right(tipp!O39,(len(tipp!O39)-find(":",tipp!O39)))&gt;left(tipp!O39,find(":",tipp!O39)-1),2,"x"))=tipp!$I39,tipp!$J39*pontozas!$B$1)+if(left(tipp!O39,find(":",tipp!O39)-1)-right(tipp!O39,(len(tipp!O39)-find(":",tipp!O39)))=tipp!$G39-tipp!$H39,pontozas!$B$2,0)+if(tipp!O39=tipp!$F39,pontozas!$B$3),""),"")</f>
        <v>2.1</v>
      </c>
      <c r="G40" t="str">
        <f>if(G$1&lt;&gt;"",iferror(if(if(left(tipp!P39,find(":",tipp!P39)-1)&gt;right(tipp!P39,(len(tipp!P39)-find(":",tipp!P39))),1,if(right(tipp!P39,(len(tipp!P39)-find(":",tipp!P39)))&gt;left(tipp!P39,find(":",tipp!P39)-1),2,"x"))=tipp!$I39,tipp!$J39*pontozas!$B$1)+if(left(tipp!P39,find(":",tipp!P39)-1)-right(tipp!P39,(len(tipp!P39)-find(":",tipp!P39)))=tipp!$G39-tipp!$H39,pontozas!$B$2,0)+if(tipp!P39=tipp!$F39,pontozas!$B$3),""),"")</f>
        <v/>
      </c>
      <c r="H40">
        <f>if(H$1&lt;&gt;"",iferror(if(if(left(tipp!Q39,find(":",tipp!Q39)-1)&gt;right(tipp!Q39,(len(tipp!Q39)-find(":",tipp!Q39))),1,if(right(tipp!Q39,(len(tipp!Q39)-find(":",tipp!Q39)))&gt;left(tipp!Q39,find(":",tipp!Q39)-1),2,"x"))=tipp!$I39,tipp!$J39*pontozas!$B$1)+if(left(tipp!Q39,find(":",tipp!Q39)-1)-right(tipp!Q39,(len(tipp!Q39)-find(":",tipp!Q39)))=tipp!$G39-tipp!$H39,pontozas!$B$2,0)+if(tipp!Q39=tipp!$F39,pontozas!$B$3),""),"")</f>
        <v>0</v>
      </c>
      <c r="I40" t="str">
        <f>if(I$1&lt;&gt;"",iferror(if(if(left(tipp!R39,find(":",tipp!R39)-1)&gt;right(tipp!R39,(len(tipp!R39)-find(":",tipp!R39))),1,if(right(tipp!R39,(len(tipp!R39)-find(":",tipp!R39)))&gt;left(tipp!R39,find(":",tipp!R39)-1),2,"x"))=tipp!$I39,tipp!$J39*pontozas!$B$1)+if(left(tipp!R39,find(":",tipp!R39)-1)-right(tipp!R39,(len(tipp!R39)-find(":",tipp!R39)))=tipp!$G39-tipp!$H39,pontozas!$B$2,0)+if(tipp!R39=tipp!$F39,pontozas!$B$3),""),"")</f>
        <v/>
      </c>
      <c r="J40" t="str">
        <f>if(J$1&lt;&gt;"",iferror(if(if(left(tipp!S39,find(":",tipp!S39)-1)&gt;right(tipp!S39,(len(tipp!S39)-find(":",tipp!S39))),1,if(right(tipp!S39,(len(tipp!S39)-find(":",tipp!S39)))&gt;left(tipp!S39,find(":",tipp!S39)-1),2,"x"))=tipp!$I39,tipp!$J39*pontozas!$B$1)+if(left(tipp!S39,find(":",tipp!S39)-1)-right(tipp!S39,(len(tipp!S39)-find(":",tipp!S39)))=tipp!$G39-tipp!$H39,pontozas!$B$2,0)+if(tipp!S39=tipp!$F39,pontozas!$B$3),""),"")</f>
        <v/>
      </c>
      <c r="K40" t="str">
        <f>if(K$1&lt;&gt;"",iferror(if(if(left(tipp!T39,find(":",tipp!T39)-1)&gt;right(tipp!T39,(len(tipp!T39)-find(":",tipp!T39))),1,if(right(tipp!T39,(len(tipp!T39)-find(":",tipp!T39)))&gt;left(tipp!T39,find(":",tipp!T39)-1),2,"x"))=tipp!$I39,tipp!$J39*pontozas!$B$1)+if(left(tipp!T39,find(":",tipp!T39)-1)-right(tipp!T39,(len(tipp!T39)-find(":",tipp!T39)))=tipp!$G39-tipp!$H39,pontozas!$B$2,0)+if(tipp!T39=tipp!$F39,pontozas!$B$3),""),"")</f>
        <v/>
      </c>
      <c r="L40" t="str">
        <f>if(L$1&lt;&gt;"",iferror(if(if(left(tipp!U39,find(":",tipp!U39)-1)&gt;right(tipp!U39,(len(tipp!U39)-find(":",tipp!U39))),1,if(right(tipp!U39,(len(tipp!U39)-find(":",tipp!U39)))&gt;left(tipp!U39,find(":",tipp!U39)-1),2,"x"))=tipp!$I39,tipp!$J39*pontozas!$B$1)+if(left(tipp!U39,find(":",tipp!U39)-1)-right(tipp!U39,(len(tipp!U39)-find(":",tipp!U39)))=tipp!$G39-tipp!$H39,pontozas!$B$2,0)+if(tipp!U39=tipp!$F39,pontozas!$B$3),""),"")</f>
        <v/>
      </c>
      <c r="M40" t="str">
        <f>if(M$1&lt;&gt;"",iferror(if(if(left(tipp!V39,find(":",tipp!V39)-1)&gt;right(tipp!V39,(len(tipp!V39)-find(":",tipp!V39))),1,if(right(tipp!V39,(len(tipp!V39)-find(":",tipp!V39)))&gt;left(tipp!V39,find(":",tipp!V39)-1),2,"x"))=tipp!$I39,tipp!$J39*pontozas!$B$1)+if(left(tipp!V39,find(":",tipp!V39)-1)-right(tipp!V39,(len(tipp!V39)-find(":",tipp!V39)))=tipp!$G39-tipp!$H39,pontozas!$B$2,0)+if(tipp!V39=tipp!$F39,pontozas!$B$3),""),"")</f>
        <v/>
      </c>
      <c r="N40" t="str">
        <f>if(N$1&lt;&gt;"",iferror(if(if(left(tipp!W39,find(":",tipp!W39)-1)&gt;right(tipp!W39,(len(tipp!W39)-find(":",tipp!W39))),1,if(right(tipp!W39,(len(tipp!W39)-find(":",tipp!W39)))&gt;left(tipp!W39,find(":",tipp!W39)-1),2,"x"))=tipp!$I39,tipp!$J39*pontozas!$B$1)+if(left(tipp!W39,find(":",tipp!W39)-1)-right(tipp!W39,(len(tipp!W39)-find(":",tipp!W39)))=tipp!$G39-tipp!$H39,pontozas!$B$2,0)+if(tipp!W39=tipp!$F39,pontozas!$B$3),""),"")</f>
        <v/>
      </c>
      <c r="O40" t="str">
        <f>if(O$1&lt;&gt;"",iferror(if(if(left(tipp!X39,find(":",tipp!X39)-1)&gt;right(tipp!X39,(len(tipp!X39)-find(":",tipp!X39))),1,if(right(tipp!X39,(len(tipp!X39)-find(":",tipp!X39)))&gt;left(tipp!X39,find(":",tipp!X39)-1),2,"x"))=tipp!$I39,tipp!$J39*pontozas!$B$1)+if(left(tipp!X39,find(":",tipp!X39)-1)-right(tipp!X39,(len(tipp!X39)-find(":",tipp!X39)))=tipp!$G39-tipp!$H39,pontozas!$B$2,0)+if(tipp!X39=tipp!$F39,pontozas!$B$3),""),"")</f>
        <v/>
      </c>
    </row>
    <row r="41">
      <c r="A41" t="str">
        <f>CONCATENATE(tipp!A40&amp;" : "&amp;tipp!B40)</f>
        <v>United States : South Korea</v>
      </c>
      <c r="B41">
        <f>if(B$1&lt;&gt;"",iferror(if(if(left(tipp!K40,find(":",tipp!K40)-1)&gt;right(tipp!K40,(len(tipp!K40)-find(":",tipp!K40))),1,if(right(tipp!K40,(len(tipp!K40)-find(":",tipp!K40)))&gt;left(tipp!K40,find(":",tipp!K40)-1),2,"x"))=tipp!$I40,tipp!$J40*pontozas!$B$1)+if(left(tipp!K40,find(":",tipp!K40)-1)-right(tipp!K40,(len(tipp!K40)-find(":",tipp!K40)))=tipp!$G40-tipp!$H40,pontozas!$B$2,0)+if(tipp!K40=tipp!$F40,pontozas!$B$3),""),"")</f>
        <v>1.04</v>
      </c>
      <c r="C41">
        <f>if(C$1&lt;&gt;"",iferror(if(if(left(tipp!L40,find(":",tipp!L40)-1)&gt;right(tipp!L40,(len(tipp!L40)-find(":",tipp!L40))),1,if(right(tipp!L40,(len(tipp!L40)-find(":",tipp!L40)))&gt;left(tipp!L40,find(":",tipp!L40)-1),2,"x"))=tipp!$I40,tipp!$J40*pontozas!$B$1)+if(left(tipp!L40,find(":",tipp!L40)-1)-right(tipp!L40,(len(tipp!L40)-find(":",tipp!L40)))=tipp!$G40-tipp!$H40,pontozas!$B$2,0)+if(tipp!L40=tipp!$F40,pontozas!$B$3),""),"")</f>
        <v>1.04</v>
      </c>
      <c r="D41">
        <f>if(D$1&lt;&gt;"",iferror(if(if(left(tipp!M40,find(":",tipp!M40)-1)&gt;right(tipp!M40,(len(tipp!M40)-find(":",tipp!M40))),1,if(right(tipp!M40,(len(tipp!M40)-find(":",tipp!M40)))&gt;left(tipp!M40,find(":",tipp!M40)-1),2,"x"))=tipp!$I40,tipp!$J40*pontozas!$B$1)+if(left(tipp!M40,find(":",tipp!M40)-1)-right(tipp!M40,(len(tipp!M40)-find(":",tipp!M40)))=tipp!$G40-tipp!$H40,pontozas!$B$2,0)+if(tipp!M40=tipp!$F40,pontozas!$B$3),""),"")</f>
        <v>1.04</v>
      </c>
      <c r="E41">
        <f>if(E$1&lt;&gt;"",iferror(if(if(left(tipp!N40,find(":",tipp!N40)-1)&gt;right(tipp!N40,(len(tipp!N40)-find(":",tipp!N40))),1,if(right(tipp!N40,(len(tipp!N40)-find(":",tipp!N40)))&gt;left(tipp!N40,find(":",tipp!N40)-1),2,"x"))=tipp!$I40,tipp!$J40*pontozas!$B$1)+if(left(tipp!N40,find(":",tipp!N40)-1)-right(tipp!N40,(len(tipp!N40)-find(":",tipp!N40)))=tipp!$G40-tipp!$H40,pontozas!$B$2,0)+if(tipp!N40=tipp!$F40,pontozas!$B$3),""),"")</f>
        <v>1.04</v>
      </c>
      <c r="F41">
        <f>if(F$1&lt;&gt;"",iferror(if(if(left(tipp!O40,find(":",tipp!O40)-1)&gt;right(tipp!O40,(len(tipp!O40)-find(":",tipp!O40))),1,if(right(tipp!O40,(len(tipp!O40)-find(":",tipp!O40)))&gt;left(tipp!O40,find(":",tipp!O40)-1),2,"x"))=tipp!$I40,tipp!$J40*pontozas!$B$1)+if(left(tipp!O40,find(":",tipp!O40)-1)-right(tipp!O40,(len(tipp!O40)-find(":",tipp!O40)))=tipp!$G40-tipp!$H40,pontozas!$B$2,0)+if(tipp!O40=tipp!$F40,pontozas!$B$3),""),"")</f>
        <v>1.04</v>
      </c>
      <c r="G41" t="str">
        <f>if(G$1&lt;&gt;"",iferror(if(if(left(tipp!P40,find(":",tipp!P40)-1)&gt;right(tipp!P40,(len(tipp!P40)-find(":",tipp!P40))),1,if(right(tipp!P40,(len(tipp!P40)-find(":",tipp!P40)))&gt;left(tipp!P40,find(":",tipp!P40)-1),2,"x"))=tipp!$I40,tipp!$J40*pontozas!$B$1)+if(left(tipp!P40,find(":",tipp!P40)-1)-right(tipp!P40,(len(tipp!P40)-find(":",tipp!P40)))=tipp!$G40-tipp!$H40,pontozas!$B$2,0)+if(tipp!P40=tipp!$F40,pontozas!$B$3),""),"")</f>
        <v/>
      </c>
      <c r="H41">
        <f>if(H$1&lt;&gt;"",iferror(if(if(left(tipp!Q40,find(":",tipp!Q40)-1)&gt;right(tipp!Q40,(len(tipp!Q40)-find(":",tipp!Q40))),1,if(right(tipp!Q40,(len(tipp!Q40)-find(":",tipp!Q40)))&gt;left(tipp!Q40,find(":",tipp!Q40)-1),2,"x"))=tipp!$I40,tipp!$J40*pontozas!$B$1)+if(left(tipp!Q40,find(":",tipp!Q40)-1)-right(tipp!Q40,(len(tipp!Q40)-find(":",tipp!Q40)))=tipp!$G40-tipp!$H40,pontozas!$B$2,0)+if(tipp!Q40=tipp!$F40,pontozas!$B$3),""),"")</f>
        <v>1.04</v>
      </c>
      <c r="I41" t="str">
        <f>if(I$1&lt;&gt;"",iferror(if(if(left(tipp!R40,find(":",tipp!R40)-1)&gt;right(tipp!R40,(len(tipp!R40)-find(":",tipp!R40))),1,if(right(tipp!R40,(len(tipp!R40)-find(":",tipp!R40)))&gt;left(tipp!R40,find(":",tipp!R40)-1),2,"x"))=tipp!$I40,tipp!$J40*pontozas!$B$1)+if(left(tipp!R40,find(":",tipp!R40)-1)-right(tipp!R40,(len(tipp!R40)-find(":",tipp!R40)))=tipp!$G40-tipp!$H40,pontozas!$B$2,0)+if(tipp!R40=tipp!$F40,pontozas!$B$3),""),"")</f>
        <v/>
      </c>
      <c r="J41" t="str">
        <f>if(J$1&lt;&gt;"",iferror(if(if(left(tipp!S40,find(":",tipp!S40)-1)&gt;right(tipp!S40,(len(tipp!S40)-find(":",tipp!S40))),1,if(right(tipp!S40,(len(tipp!S40)-find(":",tipp!S40)))&gt;left(tipp!S40,find(":",tipp!S40)-1),2,"x"))=tipp!$I40,tipp!$J40*pontozas!$B$1)+if(left(tipp!S40,find(":",tipp!S40)-1)-right(tipp!S40,(len(tipp!S40)-find(":",tipp!S40)))=tipp!$G40-tipp!$H40,pontozas!$B$2,0)+if(tipp!S40=tipp!$F40,pontozas!$B$3),""),"")</f>
        <v/>
      </c>
      <c r="K41" t="str">
        <f>if(K$1&lt;&gt;"",iferror(if(if(left(tipp!T40,find(":",tipp!T40)-1)&gt;right(tipp!T40,(len(tipp!T40)-find(":",tipp!T40))),1,if(right(tipp!T40,(len(tipp!T40)-find(":",tipp!T40)))&gt;left(tipp!T40,find(":",tipp!T40)-1),2,"x"))=tipp!$I40,tipp!$J40*pontozas!$B$1)+if(left(tipp!T40,find(":",tipp!T40)-1)-right(tipp!T40,(len(tipp!T40)-find(":",tipp!T40)))=tipp!$G40-tipp!$H40,pontozas!$B$2,0)+if(tipp!T40=tipp!$F40,pontozas!$B$3),""),"")</f>
        <v/>
      </c>
      <c r="L41" t="str">
        <f>if(L$1&lt;&gt;"",iferror(if(if(left(tipp!U40,find(":",tipp!U40)-1)&gt;right(tipp!U40,(len(tipp!U40)-find(":",tipp!U40))),1,if(right(tipp!U40,(len(tipp!U40)-find(":",tipp!U40)))&gt;left(tipp!U40,find(":",tipp!U40)-1),2,"x"))=tipp!$I40,tipp!$J40*pontozas!$B$1)+if(left(tipp!U40,find(":",tipp!U40)-1)-right(tipp!U40,(len(tipp!U40)-find(":",tipp!U40)))=tipp!$G40-tipp!$H40,pontozas!$B$2,0)+if(tipp!U40=tipp!$F40,pontozas!$B$3),""),"")</f>
        <v/>
      </c>
      <c r="M41" t="str">
        <f>if(M$1&lt;&gt;"",iferror(if(if(left(tipp!V40,find(":",tipp!V40)-1)&gt;right(tipp!V40,(len(tipp!V40)-find(":",tipp!V40))),1,if(right(tipp!V40,(len(tipp!V40)-find(":",tipp!V40)))&gt;left(tipp!V40,find(":",tipp!V40)-1),2,"x"))=tipp!$I40,tipp!$J40*pontozas!$B$1)+if(left(tipp!V40,find(":",tipp!V40)-1)-right(tipp!V40,(len(tipp!V40)-find(":",tipp!V40)))=tipp!$G40-tipp!$H40,pontozas!$B$2,0)+if(tipp!V40=tipp!$F40,pontozas!$B$3),""),"")</f>
        <v/>
      </c>
      <c r="N41" t="str">
        <f>if(N$1&lt;&gt;"",iferror(if(if(left(tipp!W40,find(":",tipp!W40)-1)&gt;right(tipp!W40,(len(tipp!W40)-find(":",tipp!W40))),1,if(right(tipp!W40,(len(tipp!W40)-find(":",tipp!W40)))&gt;left(tipp!W40,find(":",tipp!W40)-1),2,"x"))=tipp!$I40,tipp!$J40*pontozas!$B$1)+if(left(tipp!W40,find(":",tipp!W40)-1)-right(tipp!W40,(len(tipp!W40)-find(":",tipp!W40)))=tipp!$G40-tipp!$H40,pontozas!$B$2,0)+if(tipp!W40=tipp!$F40,pontozas!$B$3),""),"")</f>
        <v/>
      </c>
      <c r="O41" t="str">
        <f>if(O$1&lt;&gt;"",iferror(if(if(left(tipp!X40,find(":",tipp!X40)-1)&gt;right(tipp!X40,(len(tipp!X40)-find(":",tipp!X40))),1,if(right(tipp!X40,(len(tipp!X40)-find(":",tipp!X40)))&gt;left(tipp!X40,find(":",tipp!X40)-1),2,"x"))=tipp!$I40,tipp!$J40*pontozas!$B$1)+if(left(tipp!X40,find(":",tipp!X40)-1)-right(tipp!X40,(len(tipp!X40)-find(":",tipp!X40)))=tipp!$G40-tipp!$H40,pontozas!$B$2,0)+if(tipp!X40=tipp!$F40,pontozas!$B$3),""),"")</f>
        <v/>
      </c>
    </row>
    <row r="42">
      <c r="A42" t="str">
        <f>CONCATENATE(tipp!A41&amp;" : "&amp;tipp!B41)</f>
        <v>Slovakia : Sweden</v>
      </c>
      <c r="B42">
        <f>if(B$1&lt;&gt;"",iferror(if(if(left(tipp!K41,find(":",tipp!K41)-1)&gt;right(tipp!K41,(len(tipp!K41)-find(":",tipp!K41))),1,if(right(tipp!K41,(len(tipp!K41)-find(":",tipp!K41)))&gt;left(tipp!K41,find(":",tipp!K41)-1),2,"x"))=tipp!$I41,tipp!$J41*pontozas!$B$1)+if(left(tipp!K41,find(":",tipp!K41)-1)-right(tipp!K41,(len(tipp!K41)-find(":",tipp!K41)))=tipp!$G41-tipp!$H41,pontozas!$B$2,0)+if(tipp!K41=tipp!$F41,pontozas!$B$3),""),"")</f>
        <v>0</v>
      </c>
      <c r="C42">
        <f>if(C$1&lt;&gt;"",iferror(if(if(left(tipp!L41,find(":",tipp!L41)-1)&gt;right(tipp!L41,(len(tipp!L41)-find(":",tipp!L41))),1,if(right(tipp!L41,(len(tipp!L41)-find(":",tipp!L41)))&gt;left(tipp!L41,find(":",tipp!L41)-1),2,"x"))=tipp!$I41,tipp!$J41*pontozas!$B$1)+if(left(tipp!L41,find(":",tipp!L41)-1)-right(tipp!L41,(len(tipp!L41)-find(":",tipp!L41)))=tipp!$G41-tipp!$H41,pontozas!$B$2,0)+if(tipp!L41=tipp!$F41,pontozas!$B$3),""),"")</f>
        <v>0</v>
      </c>
      <c r="D42">
        <f>if(D$1&lt;&gt;"",iferror(if(if(left(tipp!M41,find(":",tipp!M41)-1)&gt;right(tipp!M41,(len(tipp!M41)-find(":",tipp!M41))),1,if(right(tipp!M41,(len(tipp!M41)-find(":",tipp!M41)))&gt;left(tipp!M41,find(":",tipp!M41)-1),2,"x"))=tipp!$I41,tipp!$J41*pontozas!$B$1)+if(left(tipp!M41,find(":",tipp!M41)-1)-right(tipp!M41,(len(tipp!M41)-find(":",tipp!M41)))=tipp!$G41-tipp!$H41,pontozas!$B$2,0)+if(tipp!M41=tipp!$F41,pontozas!$B$3),""),"")</f>
        <v>0</v>
      </c>
      <c r="E42">
        <f>if(E$1&lt;&gt;"",iferror(if(if(left(tipp!N41,find(":",tipp!N41)-1)&gt;right(tipp!N41,(len(tipp!N41)-find(":",tipp!N41))),1,if(right(tipp!N41,(len(tipp!N41)-find(":",tipp!N41)))&gt;left(tipp!N41,find(":",tipp!N41)-1),2,"x"))=tipp!$I41,tipp!$J41*pontozas!$B$1)+if(left(tipp!N41,find(":",tipp!N41)-1)-right(tipp!N41,(len(tipp!N41)-find(":",tipp!N41)))=tipp!$G41-tipp!$H41,pontozas!$B$2,0)+if(tipp!N41=tipp!$F41,pontozas!$B$3),""),"")</f>
        <v>0</v>
      </c>
      <c r="F42">
        <f>if(F$1&lt;&gt;"",iferror(if(if(left(tipp!O41,find(":",tipp!O41)-1)&gt;right(tipp!O41,(len(tipp!O41)-find(":",tipp!O41))),1,if(right(tipp!O41,(len(tipp!O41)-find(":",tipp!O41)))&gt;left(tipp!O41,find(":",tipp!O41)-1),2,"x"))=tipp!$I41,tipp!$J41*pontozas!$B$1)+if(left(tipp!O41,find(":",tipp!O41)-1)-right(tipp!O41,(len(tipp!O41)-find(":",tipp!O41)))=tipp!$G41-tipp!$H41,pontozas!$B$2,0)+if(tipp!O41=tipp!$F41,pontozas!$B$3),""),"")</f>
        <v>0</v>
      </c>
      <c r="G42" t="str">
        <f>if(G$1&lt;&gt;"",iferror(if(if(left(tipp!P41,find(":",tipp!P41)-1)&gt;right(tipp!P41,(len(tipp!P41)-find(":",tipp!P41))),1,if(right(tipp!P41,(len(tipp!P41)-find(":",tipp!P41)))&gt;left(tipp!P41,find(":",tipp!P41)-1),2,"x"))=tipp!$I41,tipp!$J41*pontozas!$B$1)+if(left(tipp!P41,find(":",tipp!P41)-1)-right(tipp!P41,(len(tipp!P41)-find(":",tipp!P41)))=tipp!$G41-tipp!$H41,pontozas!$B$2,0)+if(tipp!P41=tipp!$F41,pontozas!$B$3),""),"")</f>
        <v/>
      </c>
      <c r="H42">
        <f>if(H$1&lt;&gt;"",iferror(if(if(left(tipp!Q41,find(":",tipp!Q41)-1)&gt;right(tipp!Q41,(len(tipp!Q41)-find(":",tipp!Q41))),1,if(right(tipp!Q41,(len(tipp!Q41)-find(":",tipp!Q41)))&gt;left(tipp!Q41,find(":",tipp!Q41)-1),2,"x"))=tipp!$I41,tipp!$J41*pontozas!$B$1)+if(left(tipp!Q41,find(":",tipp!Q41)-1)-right(tipp!Q41,(len(tipp!Q41)-find(":",tipp!Q41)))=tipp!$G41-tipp!$H41,pontozas!$B$2,0)+if(tipp!Q41=tipp!$F41,pontozas!$B$3),""),"")</f>
        <v>0</v>
      </c>
      <c r="I42" t="str">
        <f>if(I$1&lt;&gt;"",iferror(if(if(left(tipp!R41,find(":",tipp!R41)-1)&gt;right(tipp!R41,(len(tipp!R41)-find(":",tipp!R41))),1,if(right(tipp!R41,(len(tipp!R41)-find(":",tipp!R41)))&gt;left(tipp!R41,find(":",tipp!R41)-1),2,"x"))=tipp!$I41,tipp!$J41*pontozas!$B$1)+if(left(tipp!R41,find(":",tipp!R41)-1)-right(tipp!R41,(len(tipp!R41)-find(":",tipp!R41)))=tipp!$G41-tipp!$H41,pontozas!$B$2,0)+if(tipp!R41=tipp!$F41,pontozas!$B$3),""),"")</f>
        <v/>
      </c>
      <c r="J42" t="str">
        <f>if(J$1&lt;&gt;"",iferror(if(if(left(tipp!S41,find(":",tipp!S41)-1)&gt;right(tipp!S41,(len(tipp!S41)-find(":",tipp!S41))),1,if(right(tipp!S41,(len(tipp!S41)-find(":",tipp!S41)))&gt;left(tipp!S41,find(":",tipp!S41)-1),2,"x"))=tipp!$I41,tipp!$J41*pontozas!$B$1)+if(left(tipp!S41,find(":",tipp!S41)-1)-right(tipp!S41,(len(tipp!S41)-find(":",tipp!S41)))=tipp!$G41-tipp!$H41,pontozas!$B$2,0)+if(tipp!S41=tipp!$F41,pontozas!$B$3),""),"")</f>
        <v/>
      </c>
      <c r="K42" t="str">
        <f>if(K$1&lt;&gt;"",iferror(if(if(left(tipp!T41,find(":",tipp!T41)-1)&gt;right(tipp!T41,(len(tipp!T41)-find(":",tipp!T41))),1,if(right(tipp!T41,(len(tipp!T41)-find(":",tipp!T41)))&gt;left(tipp!T41,find(":",tipp!T41)-1),2,"x"))=tipp!$I41,tipp!$J41*pontozas!$B$1)+if(left(tipp!T41,find(":",tipp!T41)-1)-right(tipp!T41,(len(tipp!T41)-find(":",tipp!T41)))=tipp!$G41-tipp!$H41,pontozas!$B$2,0)+if(tipp!T41=tipp!$F41,pontozas!$B$3),""),"")</f>
        <v/>
      </c>
      <c r="L42" t="str">
        <f>if(L$1&lt;&gt;"",iferror(if(if(left(tipp!U41,find(":",tipp!U41)-1)&gt;right(tipp!U41,(len(tipp!U41)-find(":",tipp!U41))),1,if(right(tipp!U41,(len(tipp!U41)-find(":",tipp!U41)))&gt;left(tipp!U41,find(":",tipp!U41)-1),2,"x"))=tipp!$I41,tipp!$J41*pontozas!$B$1)+if(left(tipp!U41,find(":",tipp!U41)-1)-right(tipp!U41,(len(tipp!U41)-find(":",tipp!U41)))=tipp!$G41-tipp!$H41,pontozas!$B$2,0)+if(tipp!U41=tipp!$F41,pontozas!$B$3),""),"")</f>
        <v/>
      </c>
      <c r="M42" t="str">
        <f>if(M$1&lt;&gt;"",iferror(if(if(left(tipp!V41,find(":",tipp!V41)-1)&gt;right(tipp!V41,(len(tipp!V41)-find(":",tipp!V41))),1,if(right(tipp!V41,(len(tipp!V41)-find(":",tipp!V41)))&gt;left(tipp!V41,find(":",tipp!V41)-1),2,"x"))=tipp!$I41,tipp!$J41*pontozas!$B$1)+if(left(tipp!V41,find(":",tipp!V41)-1)-right(tipp!V41,(len(tipp!V41)-find(":",tipp!V41)))=tipp!$G41-tipp!$H41,pontozas!$B$2,0)+if(tipp!V41=tipp!$F41,pontozas!$B$3),""),"")</f>
        <v/>
      </c>
      <c r="N42" t="str">
        <f>if(N$1&lt;&gt;"",iferror(if(if(left(tipp!W41,find(":",tipp!W41)-1)&gt;right(tipp!W41,(len(tipp!W41)-find(":",tipp!W41))),1,if(right(tipp!W41,(len(tipp!W41)-find(":",tipp!W41)))&gt;left(tipp!W41,find(":",tipp!W41)-1),2,"x"))=tipp!$I41,tipp!$J41*pontozas!$B$1)+if(left(tipp!W41,find(":",tipp!W41)-1)-right(tipp!W41,(len(tipp!W41)-find(":",tipp!W41)))=tipp!$G41-tipp!$H41,pontozas!$B$2,0)+if(tipp!W41=tipp!$F41,pontozas!$B$3),""),"")</f>
        <v/>
      </c>
      <c r="O42" t="str">
        <f>if(O$1&lt;&gt;"",iferror(if(if(left(tipp!X41,find(":",tipp!X41)-1)&gt;right(tipp!X41,(len(tipp!X41)-find(":",tipp!X41))),1,if(right(tipp!X41,(len(tipp!X41)-find(":",tipp!X41)))&gt;left(tipp!X41,find(":",tipp!X41)-1),2,"x"))=tipp!$I41,tipp!$J41*pontozas!$B$1)+if(left(tipp!X41,find(":",tipp!X41)-1)-right(tipp!X41,(len(tipp!X41)-find(":",tipp!X41)))=tipp!$G41-tipp!$H41,pontozas!$B$2,0)+if(tipp!X41=tipp!$F41,pontozas!$B$3),""),"")</f>
        <v/>
      </c>
    </row>
    <row r="43">
      <c r="A43" t="str">
        <f>CONCATENATE(tipp!A42&amp;" : "&amp;tipp!B42)</f>
        <v>Austria : Belarus</v>
      </c>
      <c r="B43">
        <f>if(B$1&lt;&gt;"",iferror(if(if(left(tipp!K42,find(":",tipp!K42)-1)&gt;right(tipp!K42,(len(tipp!K42)-find(":",tipp!K42))),1,if(right(tipp!K42,(len(tipp!K42)-find(":",tipp!K42)))&gt;left(tipp!K42,find(":",tipp!K42)-1),2,"x"))=tipp!$I42,tipp!$J42*pontozas!$B$1)+if(left(tipp!K42,find(":",tipp!K42)-1)-right(tipp!K42,(len(tipp!K42)-find(":",tipp!K42)))=tipp!$G42-tipp!$H42,pontozas!$B$2,0)+if(tipp!K42=tipp!$F42,pontozas!$B$3),""),"")</f>
        <v>0</v>
      </c>
      <c r="C43">
        <f>if(C$1&lt;&gt;"",iferror(if(if(left(tipp!L42,find(":",tipp!L42)-1)&gt;right(tipp!L42,(len(tipp!L42)-find(":",tipp!L42))),1,if(right(tipp!L42,(len(tipp!L42)-find(":",tipp!L42)))&gt;left(tipp!L42,find(":",tipp!L42)-1),2,"x"))=tipp!$I42,tipp!$J42*pontozas!$B$1)+if(left(tipp!L42,find(":",tipp!L42)-1)-right(tipp!L42,(len(tipp!L42)-find(":",tipp!L42)))=tipp!$G42-tipp!$H42,pontozas!$B$2,0)+if(tipp!L42=tipp!$F42,pontozas!$B$3),""),"")</f>
        <v>0</v>
      </c>
      <c r="D43">
        <f>if(D$1&lt;&gt;"",iferror(if(if(left(tipp!M42,find(":",tipp!M42)-1)&gt;right(tipp!M42,(len(tipp!M42)-find(":",tipp!M42))),1,if(right(tipp!M42,(len(tipp!M42)-find(":",tipp!M42)))&gt;left(tipp!M42,find(":",tipp!M42)-1),2,"x"))=tipp!$I42,tipp!$J42*pontozas!$B$1)+if(left(tipp!M42,find(":",tipp!M42)-1)-right(tipp!M42,(len(tipp!M42)-find(":",tipp!M42)))=tipp!$G42-tipp!$H42,pontozas!$B$2,0)+if(tipp!M42=tipp!$F42,pontozas!$B$3),""),"")</f>
        <v>3.6</v>
      </c>
      <c r="E43">
        <f>if(E$1&lt;&gt;"",iferror(if(if(left(tipp!N42,find(":",tipp!N42)-1)&gt;right(tipp!N42,(len(tipp!N42)-find(":",tipp!N42))),1,if(right(tipp!N42,(len(tipp!N42)-find(":",tipp!N42)))&gt;left(tipp!N42,find(":",tipp!N42)-1),2,"x"))=tipp!$I42,tipp!$J42*pontozas!$B$1)+if(left(tipp!N42,find(":",tipp!N42)-1)-right(tipp!N42,(len(tipp!N42)-find(":",tipp!N42)))=tipp!$G42-tipp!$H42,pontozas!$B$2,0)+if(tipp!N42=tipp!$F42,pontozas!$B$3),""),"")</f>
        <v>0</v>
      </c>
      <c r="F43">
        <f>if(F$1&lt;&gt;"",iferror(if(if(left(tipp!O42,find(":",tipp!O42)-1)&gt;right(tipp!O42,(len(tipp!O42)-find(":",tipp!O42))),1,if(right(tipp!O42,(len(tipp!O42)-find(":",tipp!O42)))&gt;left(tipp!O42,find(":",tipp!O42)-1),2,"x"))=tipp!$I42,tipp!$J42*pontozas!$B$1)+if(left(tipp!O42,find(":",tipp!O42)-1)-right(tipp!O42,(len(tipp!O42)-find(":",tipp!O42)))=tipp!$G42-tipp!$H42,pontozas!$B$2,0)+if(tipp!O42=tipp!$F42,pontozas!$B$3),""),"")</f>
        <v>0</v>
      </c>
      <c r="G43" t="str">
        <f>if(G$1&lt;&gt;"",iferror(if(if(left(tipp!P42,find(":",tipp!P42)-1)&gt;right(tipp!P42,(len(tipp!P42)-find(":",tipp!P42))),1,if(right(tipp!P42,(len(tipp!P42)-find(":",tipp!P42)))&gt;left(tipp!P42,find(":",tipp!P42)-1),2,"x"))=tipp!$I42,tipp!$J42*pontozas!$B$1)+if(left(tipp!P42,find(":",tipp!P42)-1)-right(tipp!P42,(len(tipp!P42)-find(":",tipp!P42)))=tipp!$G42-tipp!$H42,pontozas!$B$2,0)+if(tipp!P42=tipp!$F42,pontozas!$B$3),""),"")</f>
        <v/>
      </c>
      <c r="H43">
        <f>if(H$1&lt;&gt;"",iferror(if(if(left(tipp!Q42,find(":",tipp!Q42)-1)&gt;right(tipp!Q42,(len(tipp!Q42)-find(":",tipp!Q42))),1,if(right(tipp!Q42,(len(tipp!Q42)-find(":",tipp!Q42)))&gt;left(tipp!Q42,find(":",tipp!Q42)-1),2,"x"))=tipp!$I42,tipp!$J42*pontozas!$B$1)+if(left(tipp!Q42,find(":",tipp!Q42)-1)-right(tipp!Q42,(len(tipp!Q42)-find(":",tipp!Q42)))=tipp!$G42-tipp!$H42,pontozas!$B$2,0)+if(tipp!Q42=tipp!$F42,pontozas!$B$3),""),"")</f>
        <v>3.6</v>
      </c>
      <c r="I43" t="str">
        <f>if(I$1&lt;&gt;"",iferror(if(if(left(tipp!R42,find(":",tipp!R42)-1)&gt;right(tipp!R42,(len(tipp!R42)-find(":",tipp!R42))),1,if(right(tipp!R42,(len(tipp!R42)-find(":",tipp!R42)))&gt;left(tipp!R42,find(":",tipp!R42)-1),2,"x"))=tipp!$I42,tipp!$J42*pontozas!$B$1)+if(left(tipp!R42,find(":",tipp!R42)-1)-right(tipp!R42,(len(tipp!R42)-find(":",tipp!R42)))=tipp!$G42-tipp!$H42,pontozas!$B$2,0)+if(tipp!R42=tipp!$F42,pontozas!$B$3),""),"")</f>
        <v/>
      </c>
      <c r="J43" t="str">
        <f>if(J$1&lt;&gt;"",iferror(if(if(left(tipp!S42,find(":",tipp!S42)-1)&gt;right(tipp!S42,(len(tipp!S42)-find(":",tipp!S42))),1,if(right(tipp!S42,(len(tipp!S42)-find(":",tipp!S42)))&gt;left(tipp!S42,find(":",tipp!S42)-1),2,"x"))=tipp!$I42,tipp!$J42*pontozas!$B$1)+if(left(tipp!S42,find(":",tipp!S42)-1)-right(tipp!S42,(len(tipp!S42)-find(":",tipp!S42)))=tipp!$G42-tipp!$H42,pontozas!$B$2,0)+if(tipp!S42=tipp!$F42,pontozas!$B$3),""),"")</f>
        <v/>
      </c>
      <c r="K43" t="str">
        <f>if(K$1&lt;&gt;"",iferror(if(if(left(tipp!T42,find(":",tipp!T42)-1)&gt;right(tipp!T42,(len(tipp!T42)-find(":",tipp!T42))),1,if(right(tipp!T42,(len(tipp!T42)-find(":",tipp!T42)))&gt;left(tipp!T42,find(":",tipp!T42)-1),2,"x"))=tipp!$I42,tipp!$J42*pontozas!$B$1)+if(left(tipp!T42,find(":",tipp!T42)-1)-right(tipp!T42,(len(tipp!T42)-find(":",tipp!T42)))=tipp!$G42-tipp!$H42,pontozas!$B$2,0)+if(tipp!T42=tipp!$F42,pontozas!$B$3),""),"")</f>
        <v/>
      </c>
      <c r="L43" t="str">
        <f>if(L$1&lt;&gt;"",iferror(if(if(left(tipp!U42,find(":",tipp!U42)-1)&gt;right(tipp!U42,(len(tipp!U42)-find(":",tipp!U42))),1,if(right(tipp!U42,(len(tipp!U42)-find(":",tipp!U42)))&gt;left(tipp!U42,find(":",tipp!U42)-1),2,"x"))=tipp!$I42,tipp!$J42*pontozas!$B$1)+if(left(tipp!U42,find(":",tipp!U42)-1)-right(tipp!U42,(len(tipp!U42)-find(":",tipp!U42)))=tipp!$G42-tipp!$H42,pontozas!$B$2,0)+if(tipp!U42=tipp!$F42,pontozas!$B$3),""),"")</f>
        <v/>
      </c>
      <c r="M43" t="str">
        <f>if(M$1&lt;&gt;"",iferror(if(if(left(tipp!V42,find(":",tipp!V42)-1)&gt;right(tipp!V42,(len(tipp!V42)-find(":",tipp!V42))),1,if(right(tipp!V42,(len(tipp!V42)-find(":",tipp!V42)))&gt;left(tipp!V42,find(":",tipp!V42)-1),2,"x"))=tipp!$I42,tipp!$J42*pontozas!$B$1)+if(left(tipp!V42,find(":",tipp!V42)-1)-right(tipp!V42,(len(tipp!V42)-find(":",tipp!V42)))=tipp!$G42-tipp!$H42,pontozas!$B$2,0)+if(tipp!V42=tipp!$F42,pontozas!$B$3),""),"")</f>
        <v/>
      </c>
      <c r="N43" t="str">
        <f>if(N$1&lt;&gt;"",iferror(if(if(left(tipp!W42,find(":",tipp!W42)-1)&gt;right(tipp!W42,(len(tipp!W42)-find(":",tipp!W42))),1,if(right(tipp!W42,(len(tipp!W42)-find(":",tipp!W42)))&gt;left(tipp!W42,find(":",tipp!W42)-1),2,"x"))=tipp!$I42,tipp!$J42*pontozas!$B$1)+if(left(tipp!W42,find(":",tipp!W42)-1)-right(tipp!W42,(len(tipp!W42)-find(":",tipp!W42)))=tipp!$G42-tipp!$H42,pontozas!$B$2,0)+if(tipp!W42=tipp!$F42,pontozas!$B$3),""),"")</f>
        <v/>
      </c>
      <c r="O43" t="str">
        <f>if(O$1&lt;&gt;"",iferror(if(if(left(tipp!X42,find(":",tipp!X42)-1)&gt;right(tipp!X42,(len(tipp!X42)-find(":",tipp!X42))),1,if(right(tipp!X42,(len(tipp!X42)-find(":",tipp!X42)))&gt;left(tipp!X42,find(":",tipp!X42)-1),2,"x"))=tipp!$I42,tipp!$J42*pontozas!$B$1)+if(left(tipp!X42,find(":",tipp!X42)-1)-right(tipp!X42,(len(tipp!X42)-find(":",tipp!X42)))=tipp!$G42-tipp!$H42,pontozas!$B$2,0)+if(tipp!X42=tipp!$F42,pontozas!$B$3),""),"")</f>
        <v/>
      </c>
    </row>
    <row r="44">
      <c r="A44" t="str">
        <f>CONCATENATE(tipp!A43&amp;" : "&amp;tipp!B43)</f>
        <v>Russia : Switzerland</v>
      </c>
      <c r="B44">
        <f>if(B$1&lt;&gt;"",iferror(if(if(left(tipp!K43,find(":",tipp!K43)-1)&gt;right(tipp!K43,(len(tipp!K43)-find(":",tipp!K43))),1,if(right(tipp!K43,(len(tipp!K43)-find(":",tipp!K43)))&gt;left(tipp!K43,find(":",tipp!K43)-1),2,"x"))=tipp!$I43,tipp!$J43*pontozas!$B$1)+if(left(tipp!K43,find(":",tipp!K43)-1)-right(tipp!K43,(len(tipp!K43)-find(":",tipp!K43)))=tipp!$G43-tipp!$H43,pontozas!$B$2,0)+if(tipp!K43=tipp!$F43,pontozas!$B$3),""),"")</f>
        <v>1.33</v>
      </c>
      <c r="C44">
        <f>if(C$1&lt;&gt;"",iferror(if(if(left(tipp!L43,find(":",tipp!L43)-1)&gt;right(tipp!L43,(len(tipp!L43)-find(":",tipp!L43))),1,if(right(tipp!L43,(len(tipp!L43)-find(":",tipp!L43)))&gt;left(tipp!L43,find(":",tipp!L43)-1),2,"x"))=tipp!$I43,tipp!$J43*pontozas!$B$1)+if(left(tipp!L43,find(":",tipp!L43)-1)-right(tipp!L43,(len(tipp!L43)-find(":",tipp!L43)))=tipp!$G43-tipp!$H43,pontozas!$B$2,0)+if(tipp!L43=tipp!$F43,pontozas!$B$3),""),"")</f>
        <v>0</v>
      </c>
      <c r="D44">
        <f>if(D$1&lt;&gt;"",iferror(if(if(left(tipp!M43,find(":",tipp!M43)-1)&gt;right(tipp!M43,(len(tipp!M43)-find(":",tipp!M43))),1,if(right(tipp!M43,(len(tipp!M43)-find(":",tipp!M43)))&gt;left(tipp!M43,find(":",tipp!M43)-1),2,"x"))=tipp!$I43,tipp!$J43*pontozas!$B$1)+if(left(tipp!M43,find(":",tipp!M43)-1)-right(tipp!M43,(len(tipp!M43)-find(":",tipp!M43)))=tipp!$G43-tipp!$H43,pontozas!$B$2,0)+if(tipp!M43=tipp!$F43,pontozas!$B$3),""),"")</f>
        <v>1.33</v>
      </c>
      <c r="E44">
        <f>if(E$1&lt;&gt;"",iferror(if(if(left(tipp!N43,find(":",tipp!N43)-1)&gt;right(tipp!N43,(len(tipp!N43)-find(":",tipp!N43))),1,if(right(tipp!N43,(len(tipp!N43)-find(":",tipp!N43)))&gt;left(tipp!N43,find(":",tipp!N43)-1),2,"x"))=tipp!$I43,tipp!$J43*pontozas!$B$1)+if(left(tipp!N43,find(":",tipp!N43)-1)-right(tipp!N43,(len(tipp!N43)-find(":",tipp!N43)))=tipp!$G43-tipp!$H43,pontozas!$B$2,0)+if(tipp!N43=tipp!$F43,pontozas!$B$3),""),"")</f>
        <v>0</v>
      </c>
      <c r="F44">
        <f>if(F$1&lt;&gt;"",iferror(if(if(left(tipp!O43,find(":",tipp!O43)-1)&gt;right(tipp!O43,(len(tipp!O43)-find(":",tipp!O43))),1,if(right(tipp!O43,(len(tipp!O43)-find(":",tipp!O43)))&gt;left(tipp!O43,find(":",tipp!O43)-1),2,"x"))=tipp!$I43,tipp!$J43*pontozas!$B$1)+if(left(tipp!O43,find(":",tipp!O43)-1)-right(tipp!O43,(len(tipp!O43)-find(":",tipp!O43)))=tipp!$G43-tipp!$H43,pontozas!$B$2,0)+if(tipp!O43=tipp!$F43,pontozas!$B$3),""),"")</f>
        <v>1.33</v>
      </c>
      <c r="G44" t="str">
        <f>if(G$1&lt;&gt;"",iferror(if(if(left(tipp!P43,find(":",tipp!P43)-1)&gt;right(tipp!P43,(len(tipp!P43)-find(":",tipp!P43))),1,if(right(tipp!P43,(len(tipp!P43)-find(":",tipp!P43)))&gt;left(tipp!P43,find(":",tipp!P43)-1),2,"x"))=tipp!$I43,tipp!$J43*pontozas!$B$1)+if(left(tipp!P43,find(":",tipp!P43)-1)-right(tipp!P43,(len(tipp!P43)-find(":",tipp!P43)))=tipp!$G43-tipp!$H43,pontozas!$B$2,0)+if(tipp!P43=tipp!$F43,pontozas!$B$3),""),"")</f>
        <v/>
      </c>
      <c r="H44">
        <f>if(H$1&lt;&gt;"",iferror(if(if(left(tipp!Q43,find(":",tipp!Q43)-1)&gt;right(tipp!Q43,(len(tipp!Q43)-find(":",tipp!Q43))),1,if(right(tipp!Q43,(len(tipp!Q43)-find(":",tipp!Q43)))&gt;left(tipp!Q43,find(":",tipp!Q43)-1),2,"x"))=tipp!$I43,tipp!$J43*pontozas!$B$1)+if(left(tipp!Q43,find(":",tipp!Q43)-1)-right(tipp!Q43,(len(tipp!Q43)-find(":",tipp!Q43)))=tipp!$G43-tipp!$H43,pontozas!$B$2,0)+if(tipp!Q43=tipp!$F43,pontozas!$B$3),""),"")</f>
        <v>1.33</v>
      </c>
      <c r="I44" t="str">
        <f>if(I$1&lt;&gt;"",iferror(if(if(left(tipp!R43,find(":",tipp!R43)-1)&gt;right(tipp!R43,(len(tipp!R43)-find(":",tipp!R43))),1,if(right(tipp!R43,(len(tipp!R43)-find(":",tipp!R43)))&gt;left(tipp!R43,find(":",tipp!R43)-1),2,"x"))=tipp!$I43,tipp!$J43*pontozas!$B$1)+if(left(tipp!R43,find(":",tipp!R43)-1)-right(tipp!R43,(len(tipp!R43)-find(":",tipp!R43)))=tipp!$G43-tipp!$H43,pontozas!$B$2,0)+if(tipp!R43=tipp!$F43,pontozas!$B$3),""),"")</f>
        <v/>
      </c>
      <c r="J44" t="str">
        <f>if(J$1&lt;&gt;"",iferror(if(if(left(tipp!S43,find(":",tipp!S43)-1)&gt;right(tipp!S43,(len(tipp!S43)-find(":",tipp!S43))),1,if(right(tipp!S43,(len(tipp!S43)-find(":",tipp!S43)))&gt;left(tipp!S43,find(":",tipp!S43)-1),2,"x"))=tipp!$I43,tipp!$J43*pontozas!$B$1)+if(left(tipp!S43,find(":",tipp!S43)-1)-right(tipp!S43,(len(tipp!S43)-find(":",tipp!S43)))=tipp!$G43-tipp!$H43,pontozas!$B$2,0)+if(tipp!S43=tipp!$F43,pontozas!$B$3),""),"")</f>
        <v/>
      </c>
      <c r="K44" t="str">
        <f>if(K$1&lt;&gt;"",iferror(if(if(left(tipp!T43,find(":",tipp!T43)-1)&gt;right(tipp!T43,(len(tipp!T43)-find(":",tipp!T43))),1,if(right(tipp!T43,(len(tipp!T43)-find(":",tipp!T43)))&gt;left(tipp!T43,find(":",tipp!T43)-1),2,"x"))=tipp!$I43,tipp!$J43*pontozas!$B$1)+if(left(tipp!T43,find(":",tipp!T43)-1)-right(tipp!T43,(len(tipp!T43)-find(":",tipp!T43)))=tipp!$G43-tipp!$H43,pontozas!$B$2,0)+if(tipp!T43=tipp!$F43,pontozas!$B$3),""),"")</f>
        <v/>
      </c>
      <c r="L44" t="str">
        <f>if(L$1&lt;&gt;"",iferror(if(if(left(tipp!U43,find(":",tipp!U43)-1)&gt;right(tipp!U43,(len(tipp!U43)-find(":",tipp!U43))),1,if(right(tipp!U43,(len(tipp!U43)-find(":",tipp!U43)))&gt;left(tipp!U43,find(":",tipp!U43)-1),2,"x"))=tipp!$I43,tipp!$J43*pontozas!$B$1)+if(left(tipp!U43,find(":",tipp!U43)-1)-right(tipp!U43,(len(tipp!U43)-find(":",tipp!U43)))=tipp!$G43-tipp!$H43,pontozas!$B$2,0)+if(tipp!U43=tipp!$F43,pontozas!$B$3),""),"")</f>
        <v/>
      </c>
      <c r="M44" t="str">
        <f>if(M$1&lt;&gt;"",iferror(if(if(left(tipp!V43,find(":",tipp!V43)-1)&gt;right(tipp!V43,(len(tipp!V43)-find(":",tipp!V43))),1,if(right(tipp!V43,(len(tipp!V43)-find(":",tipp!V43)))&gt;left(tipp!V43,find(":",tipp!V43)-1),2,"x"))=tipp!$I43,tipp!$J43*pontozas!$B$1)+if(left(tipp!V43,find(":",tipp!V43)-1)-right(tipp!V43,(len(tipp!V43)-find(":",tipp!V43)))=tipp!$G43-tipp!$H43,pontozas!$B$2,0)+if(tipp!V43=tipp!$F43,pontozas!$B$3),""),"")</f>
        <v/>
      </c>
      <c r="N44" t="str">
        <f>if(N$1&lt;&gt;"",iferror(if(if(left(tipp!W43,find(":",tipp!W43)-1)&gt;right(tipp!W43,(len(tipp!W43)-find(":",tipp!W43))),1,if(right(tipp!W43,(len(tipp!W43)-find(":",tipp!W43)))&gt;left(tipp!W43,find(":",tipp!W43)-1),2,"x"))=tipp!$I43,tipp!$J43*pontozas!$B$1)+if(left(tipp!W43,find(":",tipp!W43)-1)-right(tipp!W43,(len(tipp!W43)-find(":",tipp!W43)))=tipp!$G43-tipp!$H43,pontozas!$B$2,0)+if(tipp!W43=tipp!$F43,pontozas!$B$3),""),"")</f>
        <v/>
      </c>
      <c r="O44" t="str">
        <f>if(O$1&lt;&gt;"",iferror(if(if(left(tipp!X43,find(":",tipp!X43)-1)&gt;right(tipp!X43,(len(tipp!X43)-find(":",tipp!X43))),1,if(right(tipp!X43,(len(tipp!X43)-find(":",tipp!X43)))&gt;left(tipp!X43,find(":",tipp!X43)-1),2,"x"))=tipp!$I43,tipp!$J43*pontozas!$B$1)+if(left(tipp!X43,find(":",tipp!X43)-1)-right(tipp!X43,(len(tipp!X43)-find(":",tipp!X43)))=tipp!$G43-tipp!$H43,pontozas!$B$2,0)+if(tipp!X43=tipp!$F43,pontozas!$B$3),""),"")</f>
        <v/>
      </c>
    </row>
    <row r="45">
      <c r="A45" t="str">
        <f>CONCATENATE(tipp!A44&amp;" : "&amp;tipp!B44)</f>
        <v>Latvia : Germany</v>
      </c>
      <c r="B45">
        <f>if(B$1&lt;&gt;"",iferror(if(if(left(tipp!K44,find(":",tipp!K44)-1)&gt;right(tipp!K44,(len(tipp!K44)-find(":",tipp!K44))),1,if(right(tipp!K44,(len(tipp!K44)-find(":",tipp!K44)))&gt;left(tipp!K44,find(":",tipp!K44)-1),2,"x"))=tipp!$I44,tipp!$J44*pontozas!$B$1)+if(left(tipp!K44,find(":",tipp!K44)-1)-right(tipp!K44,(len(tipp!K44)-find(":",tipp!K44)))=tipp!$G44-tipp!$H44,pontozas!$B$2,0)+if(tipp!K44=tipp!$F44,pontozas!$B$3),""),"")</f>
        <v>3.25</v>
      </c>
      <c r="C45">
        <f>if(C$1&lt;&gt;"",iferror(if(if(left(tipp!L44,find(":",tipp!L44)-1)&gt;right(tipp!L44,(len(tipp!L44)-find(":",tipp!L44))),1,if(right(tipp!L44,(len(tipp!L44)-find(":",tipp!L44)))&gt;left(tipp!L44,find(":",tipp!L44)-1),2,"x"))=tipp!$I44,tipp!$J44*pontozas!$B$1)+if(left(tipp!L44,find(":",tipp!L44)-1)-right(tipp!L44,(len(tipp!L44)-find(":",tipp!L44)))=tipp!$G44-tipp!$H44,pontozas!$B$2,0)+if(tipp!L44=tipp!$F44,pontozas!$B$3),""),"")</f>
        <v>0</v>
      </c>
      <c r="D45">
        <f>if(D$1&lt;&gt;"",iferror(if(if(left(tipp!M44,find(":",tipp!M44)-1)&gt;right(tipp!M44,(len(tipp!M44)-find(":",tipp!M44))),1,if(right(tipp!M44,(len(tipp!M44)-find(":",tipp!M44)))&gt;left(tipp!M44,find(":",tipp!M44)-1),2,"x"))=tipp!$I44,tipp!$J44*pontozas!$B$1)+if(left(tipp!M44,find(":",tipp!M44)-1)-right(tipp!M44,(len(tipp!M44)-find(":",tipp!M44)))=tipp!$G44-tipp!$H44,pontozas!$B$2,0)+if(tipp!M44=tipp!$F44,pontozas!$B$3),""),"")</f>
        <v>0</v>
      </c>
      <c r="E45">
        <f>if(E$1&lt;&gt;"",iferror(if(if(left(tipp!N44,find(":",tipp!N44)-1)&gt;right(tipp!N44,(len(tipp!N44)-find(":",tipp!N44))),1,if(right(tipp!N44,(len(tipp!N44)-find(":",tipp!N44)))&gt;left(tipp!N44,find(":",tipp!N44)-1),2,"x"))=tipp!$I44,tipp!$J44*pontozas!$B$1)+if(left(tipp!N44,find(":",tipp!N44)-1)-right(tipp!N44,(len(tipp!N44)-find(":",tipp!N44)))=tipp!$G44-tipp!$H44,pontozas!$B$2,0)+if(tipp!N44=tipp!$F44,pontozas!$B$3),""),"")</f>
        <v>0</v>
      </c>
      <c r="F45">
        <f>if(F$1&lt;&gt;"",iferror(if(if(left(tipp!O44,find(":",tipp!O44)-1)&gt;right(tipp!O44,(len(tipp!O44)-find(":",tipp!O44))),1,if(right(tipp!O44,(len(tipp!O44)-find(":",tipp!O44)))&gt;left(tipp!O44,find(":",tipp!O44)-1),2,"x"))=tipp!$I44,tipp!$J44*pontozas!$B$1)+if(left(tipp!O44,find(":",tipp!O44)-1)-right(tipp!O44,(len(tipp!O44)-find(":",tipp!O44)))=tipp!$G44-tipp!$H44,pontozas!$B$2,0)+if(tipp!O44=tipp!$F44,pontozas!$B$3),""),"")</f>
        <v>0</v>
      </c>
      <c r="G45" t="str">
        <f>if(G$1&lt;&gt;"",iferror(if(if(left(tipp!P44,find(":",tipp!P44)-1)&gt;right(tipp!P44,(len(tipp!P44)-find(":",tipp!P44))),1,if(right(tipp!P44,(len(tipp!P44)-find(":",tipp!P44)))&gt;left(tipp!P44,find(":",tipp!P44)-1),2,"x"))=tipp!$I44,tipp!$J44*pontozas!$B$1)+if(left(tipp!P44,find(":",tipp!P44)-1)-right(tipp!P44,(len(tipp!P44)-find(":",tipp!P44)))=tipp!$G44-tipp!$H44,pontozas!$B$2,0)+if(tipp!P44=tipp!$F44,pontozas!$B$3),""),"")</f>
        <v/>
      </c>
      <c r="H45">
        <f>if(H$1&lt;&gt;"",iferror(if(if(left(tipp!Q44,find(":",tipp!Q44)-1)&gt;right(tipp!Q44,(len(tipp!Q44)-find(":",tipp!Q44))),1,if(right(tipp!Q44,(len(tipp!Q44)-find(":",tipp!Q44)))&gt;left(tipp!Q44,find(":",tipp!Q44)-1),2,"x"))=tipp!$I44,tipp!$J44*pontozas!$B$1)+if(left(tipp!Q44,find(":",tipp!Q44)-1)-right(tipp!Q44,(len(tipp!Q44)-find(":",tipp!Q44)))=tipp!$G44-tipp!$H44,pontozas!$B$2,0)+if(tipp!Q44=tipp!$F44,pontozas!$B$3),""),"")</f>
        <v>3.25</v>
      </c>
      <c r="I45" t="str">
        <f>if(I$1&lt;&gt;"",iferror(if(if(left(tipp!R44,find(":",tipp!R44)-1)&gt;right(tipp!R44,(len(tipp!R44)-find(":",tipp!R44))),1,if(right(tipp!R44,(len(tipp!R44)-find(":",tipp!R44)))&gt;left(tipp!R44,find(":",tipp!R44)-1),2,"x"))=tipp!$I44,tipp!$J44*pontozas!$B$1)+if(left(tipp!R44,find(":",tipp!R44)-1)-right(tipp!R44,(len(tipp!R44)-find(":",tipp!R44)))=tipp!$G44-tipp!$H44,pontozas!$B$2,0)+if(tipp!R44=tipp!$F44,pontozas!$B$3),""),"")</f>
        <v/>
      </c>
      <c r="J45" t="str">
        <f>if(J$1&lt;&gt;"",iferror(if(if(left(tipp!S44,find(":",tipp!S44)-1)&gt;right(tipp!S44,(len(tipp!S44)-find(":",tipp!S44))),1,if(right(tipp!S44,(len(tipp!S44)-find(":",tipp!S44)))&gt;left(tipp!S44,find(":",tipp!S44)-1),2,"x"))=tipp!$I44,tipp!$J44*pontozas!$B$1)+if(left(tipp!S44,find(":",tipp!S44)-1)-right(tipp!S44,(len(tipp!S44)-find(":",tipp!S44)))=tipp!$G44-tipp!$H44,pontozas!$B$2,0)+if(tipp!S44=tipp!$F44,pontozas!$B$3),""),"")</f>
        <v/>
      </c>
      <c r="K45" t="str">
        <f>if(K$1&lt;&gt;"",iferror(if(if(left(tipp!T44,find(":",tipp!T44)-1)&gt;right(tipp!T44,(len(tipp!T44)-find(":",tipp!T44))),1,if(right(tipp!T44,(len(tipp!T44)-find(":",tipp!T44)))&gt;left(tipp!T44,find(":",tipp!T44)-1),2,"x"))=tipp!$I44,tipp!$J44*pontozas!$B$1)+if(left(tipp!T44,find(":",tipp!T44)-1)-right(tipp!T44,(len(tipp!T44)-find(":",tipp!T44)))=tipp!$G44-tipp!$H44,pontozas!$B$2,0)+if(tipp!T44=tipp!$F44,pontozas!$B$3),""),"")</f>
        <v/>
      </c>
      <c r="L45" t="str">
        <f>if(L$1&lt;&gt;"",iferror(if(if(left(tipp!U44,find(":",tipp!U44)-1)&gt;right(tipp!U44,(len(tipp!U44)-find(":",tipp!U44))),1,if(right(tipp!U44,(len(tipp!U44)-find(":",tipp!U44)))&gt;left(tipp!U44,find(":",tipp!U44)-1),2,"x"))=tipp!$I44,tipp!$J44*pontozas!$B$1)+if(left(tipp!U44,find(":",tipp!U44)-1)-right(tipp!U44,(len(tipp!U44)-find(":",tipp!U44)))=tipp!$G44-tipp!$H44,pontozas!$B$2,0)+if(tipp!U44=tipp!$F44,pontozas!$B$3),""),"")</f>
        <v/>
      </c>
      <c r="M45" t="str">
        <f>if(M$1&lt;&gt;"",iferror(if(if(left(tipp!V44,find(":",tipp!V44)-1)&gt;right(tipp!V44,(len(tipp!V44)-find(":",tipp!V44))),1,if(right(tipp!V44,(len(tipp!V44)-find(":",tipp!V44)))&gt;left(tipp!V44,find(":",tipp!V44)-1),2,"x"))=tipp!$I44,tipp!$J44*pontozas!$B$1)+if(left(tipp!V44,find(":",tipp!V44)-1)-right(tipp!V44,(len(tipp!V44)-find(":",tipp!V44)))=tipp!$G44-tipp!$H44,pontozas!$B$2,0)+if(tipp!V44=tipp!$F44,pontozas!$B$3),""),"")</f>
        <v/>
      </c>
      <c r="N45" t="str">
        <f>if(N$1&lt;&gt;"",iferror(if(if(left(tipp!W44,find(":",tipp!W44)-1)&gt;right(tipp!W44,(len(tipp!W44)-find(":",tipp!W44))),1,if(right(tipp!W44,(len(tipp!W44)-find(":",tipp!W44)))&gt;left(tipp!W44,find(":",tipp!W44)-1),2,"x"))=tipp!$I44,tipp!$J44*pontozas!$B$1)+if(left(tipp!W44,find(":",tipp!W44)-1)-right(tipp!W44,(len(tipp!W44)-find(":",tipp!W44)))=tipp!$G44-tipp!$H44,pontozas!$B$2,0)+if(tipp!W44=tipp!$F44,pontozas!$B$3),""),"")</f>
        <v/>
      </c>
      <c r="O45" t="str">
        <f>if(O$1&lt;&gt;"",iferror(if(if(left(tipp!X44,find(":",tipp!X44)-1)&gt;right(tipp!X44,(len(tipp!X44)-find(":",tipp!X44))),1,if(right(tipp!X44,(len(tipp!X44)-find(":",tipp!X44)))&gt;left(tipp!X44,find(":",tipp!X44)-1),2,"x"))=tipp!$I44,tipp!$J44*pontozas!$B$1)+if(left(tipp!X44,find(":",tipp!X44)-1)-right(tipp!X44,(len(tipp!X44)-find(":",tipp!X44)))=tipp!$G44-tipp!$H44,pontozas!$B$2,0)+if(tipp!X44=tipp!$F44,pontozas!$B$3),""),"")</f>
        <v/>
      </c>
    </row>
    <row r="46">
      <c r="A46" t="str">
        <f>CONCATENATE(tipp!A45&amp;" : "&amp;tipp!B45)</f>
        <v>Denmark : South Korea</v>
      </c>
      <c r="B46" s="27">
        <f>if(B$1&lt;&gt;"",iferror(if(if(left(tipp!K45,find(":",tipp!K45)-1)&gt;right(tipp!K45,(len(tipp!K45)-find(":",tipp!K45))),1,if(right(tipp!K45,(len(tipp!K45)-find(":",tipp!K45)))&gt;left(tipp!K45,find(":",tipp!K45)-1),2,"x"))=tipp!$I45,tipp!$J45*pontozas!$B$1)+if(left(tipp!K45,find(":",tipp!K45)-1)-right(tipp!K45,(len(tipp!K45)-find(":",tipp!K45)))=tipp!$G45-tipp!$H45,pontozas!$B$2,0)+if(tipp!K45=tipp!$F45,pontozas!$B$3),""),"")</f>
        <v>1.2</v>
      </c>
      <c r="C46" s="27">
        <f>if(C$1&lt;&gt;"",iferror(if(if(left(tipp!L45,find(":",tipp!L45)-1)&gt;right(tipp!L45,(len(tipp!L45)-find(":",tipp!L45))),1,if(right(tipp!L45,(len(tipp!L45)-find(":",tipp!L45)))&gt;left(tipp!L45,find(":",tipp!L45)-1),2,"x"))=tipp!$I45,tipp!$J45*pontozas!$B$1)+if(left(tipp!L45,find(":",tipp!L45)-1)-right(tipp!L45,(len(tipp!L45)-find(":",tipp!L45)))=tipp!$G45-tipp!$H45,pontozas!$B$2,0)+if(tipp!L45=tipp!$F45,pontozas!$B$3),""),"")</f>
        <v>1.2</v>
      </c>
      <c r="D46" s="27">
        <f>if(D$1&lt;&gt;"",iferror(if(if(left(tipp!M45,find(":",tipp!M45)-1)&gt;right(tipp!M45,(len(tipp!M45)-find(":",tipp!M45))),1,if(right(tipp!M45,(len(tipp!M45)-find(":",tipp!M45)))&gt;left(tipp!M45,find(":",tipp!M45)-1),2,"x"))=tipp!$I45,tipp!$J45*pontozas!$B$1)+if(left(tipp!M45,find(":",tipp!M45)-1)-right(tipp!M45,(len(tipp!M45)-find(":",tipp!M45)))=tipp!$G45-tipp!$H45,pontozas!$B$2,0)+if(tipp!M45=tipp!$F45,pontozas!$B$3),""),"")</f>
        <v>2.2</v>
      </c>
      <c r="E46" s="27">
        <f>if(E$1&lt;&gt;"",iferror(if(if(left(tipp!N45,find(":",tipp!N45)-1)&gt;right(tipp!N45,(len(tipp!N45)-find(":",tipp!N45))),1,if(right(tipp!N45,(len(tipp!N45)-find(":",tipp!N45)))&gt;left(tipp!N45,find(":",tipp!N45)-1),2,"x"))=tipp!$I45,tipp!$J45*pontozas!$B$1)+if(left(tipp!N45,find(":",tipp!N45)-1)-right(tipp!N45,(len(tipp!N45)-find(":",tipp!N45)))=tipp!$G45-tipp!$H45,pontozas!$B$2,0)+if(tipp!N45=tipp!$F45,pontozas!$B$3),""),"")</f>
        <v>1.2</v>
      </c>
      <c r="F46" s="27">
        <f>if(F$1&lt;&gt;"",iferror(if(if(left(tipp!O45,find(":",tipp!O45)-1)&gt;right(tipp!O45,(len(tipp!O45)-find(":",tipp!O45))),1,if(right(tipp!O45,(len(tipp!O45)-find(":",tipp!O45)))&gt;left(tipp!O45,find(":",tipp!O45)-1),2,"x"))=tipp!$I45,tipp!$J45*pontozas!$B$1)+if(left(tipp!O45,find(":",tipp!O45)-1)-right(tipp!O45,(len(tipp!O45)-find(":",tipp!O45)))=tipp!$G45-tipp!$H45,pontozas!$B$2,0)+if(tipp!O45=tipp!$F45,pontozas!$B$3),""),"")</f>
        <v>1.2</v>
      </c>
      <c r="G46" s="27" t="str">
        <f>if(G$1&lt;&gt;"",iferror(if(if(left(tipp!P45,find(":",tipp!P45)-1)&gt;right(tipp!P45,(len(tipp!P45)-find(":",tipp!P45))),1,if(right(tipp!P45,(len(tipp!P45)-find(":",tipp!P45)))&gt;left(tipp!P45,find(":",tipp!P45)-1),2,"x"))=tipp!$I45,tipp!$J45*pontozas!$B$1)+if(left(tipp!P45,find(":",tipp!P45)-1)-right(tipp!P45,(len(tipp!P45)-find(":",tipp!P45)))=tipp!$G45-tipp!$H45,pontozas!$B$2,0)+if(tipp!P45=tipp!$F45,pontozas!$B$3),""),"")</f>
        <v/>
      </c>
      <c r="H46" s="27">
        <f>if(H$1&lt;&gt;"",iferror(if(if(left(tipp!Q45,find(":",tipp!Q45)-1)&gt;right(tipp!Q45,(len(tipp!Q45)-find(":",tipp!Q45))),1,if(right(tipp!Q45,(len(tipp!Q45)-find(":",tipp!Q45)))&gt;left(tipp!Q45,find(":",tipp!Q45)-1),2,"x"))=tipp!$I45,tipp!$J45*pontozas!$B$1)+if(left(tipp!Q45,find(":",tipp!Q45)-1)-right(tipp!Q45,(len(tipp!Q45)-find(":",tipp!Q45)))=tipp!$G45-tipp!$H45,pontozas!$B$2,0)+if(tipp!Q45=tipp!$F45,pontozas!$B$3),""),"")</f>
        <v>1.2</v>
      </c>
      <c r="I46" s="27" t="str">
        <f>if(I$1&lt;&gt;"",iferror(if(if(left(tipp!R45,find(":",tipp!R45)-1)&gt;right(tipp!R45,(len(tipp!R45)-find(":",tipp!R45))),1,if(right(tipp!R45,(len(tipp!R45)-find(":",tipp!R45)))&gt;left(tipp!R45,find(":",tipp!R45)-1),2,"x"))=tipp!$I45,tipp!$J45*pontozas!$B$1)+if(left(tipp!R45,find(":",tipp!R45)-1)-right(tipp!R45,(len(tipp!R45)-find(":",tipp!R45)))=tipp!$G45-tipp!$H45,pontozas!$B$2,0)+if(tipp!R45=tipp!$F45,pontozas!$B$3),""),"")</f>
        <v/>
      </c>
      <c r="J46" t="str">
        <f>if(J$1&lt;&gt;"",iferror(if(if(left(tipp!S45,find(":",tipp!S45)-1)&gt;right(tipp!S45,(len(tipp!S45)-find(":",tipp!S45))),1,if(right(tipp!S45,(len(tipp!S45)-find(":",tipp!S45)))&gt;left(tipp!S45,find(":",tipp!S45)-1),2,"x"))=tipp!$I45,tipp!$J45*pontozas!$B$1)+if(left(tipp!S45,find(":",tipp!S45)-1)-right(tipp!S45,(len(tipp!S45)-find(":",tipp!S45)))=tipp!$G45-tipp!$H45,pontozas!$B$2,0)+if(tipp!S45=tipp!$F45,pontozas!$B$3),""),"")</f>
        <v/>
      </c>
      <c r="K46" t="str">
        <f>if(K$1&lt;&gt;"",iferror(if(if(left(tipp!T45,find(":",tipp!T45)-1)&gt;right(tipp!T45,(len(tipp!T45)-find(":",tipp!T45))),1,if(right(tipp!T45,(len(tipp!T45)-find(":",tipp!T45)))&gt;left(tipp!T45,find(":",tipp!T45)-1),2,"x"))=tipp!$I45,tipp!$J45*pontozas!$B$1)+if(left(tipp!T45,find(":",tipp!T45)-1)-right(tipp!T45,(len(tipp!T45)-find(":",tipp!T45)))=tipp!$G45-tipp!$H45,pontozas!$B$2,0)+if(tipp!T45=tipp!$F45,pontozas!$B$3),""),"")</f>
        <v/>
      </c>
      <c r="L46" t="str">
        <f>if(L$1&lt;&gt;"",iferror(if(if(left(tipp!U45,find(":",tipp!U45)-1)&gt;right(tipp!U45,(len(tipp!U45)-find(":",tipp!U45))),1,if(right(tipp!U45,(len(tipp!U45)-find(":",tipp!U45)))&gt;left(tipp!U45,find(":",tipp!U45)-1),2,"x"))=tipp!$I45,tipp!$J45*pontozas!$B$1)+if(left(tipp!U45,find(":",tipp!U45)-1)-right(tipp!U45,(len(tipp!U45)-find(":",tipp!U45)))=tipp!$G45-tipp!$H45,pontozas!$B$2,0)+if(tipp!U45=tipp!$F45,pontozas!$B$3),""),"")</f>
        <v/>
      </c>
      <c r="M46" t="str">
        <f>if(M$1&lt;&gt;"",iferror(if(if(left(tipp!V45,find(":",tipp!V45)-1)&gt;right(tipp!V45,(len(tipp!V45)-find(":",tipp!V45))),1,if(right(tipp!V45,(len(tipp!V45)-find(":",tipp!V45)))&gt;left(tipp!V45,find(":",tipp!V45)-1),2,"x"))=tipp!$I45,tipp!$J45*pontozas!$B$1)+if(left(tipp!V45,find(":",tipp!V45)-1)-right(tipp!V45,(len(tipp!V45)-find(":",tipp!V45)))=tipp!$G45-tipp!$H45,pontozas!$B$2,0)+if(tipp!V45=tipp!$F45,pontozas!$B$3),""),"")</f>
        <v/>
      </c>
      <c r="N46" t="str">
        <f>if(N$1&lt;&gt;"",iferror(if(if(left(tipp!W45,find(":",tipp!W45)-1)&gt;right(tipp!W45,(len(tipp!W45)-find(":",tipp!W45))),1,if(right(tipp!W45,(len(tipp!W45)-find(":",tipp!W45)))&gt;left(tipp!W45,find(":",tipp!W45)-1),2,"x"))=tipp!$I45,tipp!$J45*pontozas!$B$1)+if(left(tipp!W45,find(":",tipp!W45)-1)-right(tipp!W45,(len(tipp!W45)-find(":",tipp!W45)))=tipp!$G45-tipp!$H45,pontozas!$B$2,0)+if(tipp!W45=tipp!$F45,pontozas!$B$3),""),"")</f>
        <v/>
      </c>
      <c r="O46" t="str">
        <f>if(O$1&lt;&gt;"",iferror(if(if(left(tipp!X45,find(":",tipp!X45)-1)&gt;right(tipp!X45,(len(tipp!X45)-find(":",tipp!X45))),1,if(right(tipp!X45,(len(tipp!X45)-find(":",tipp!X45)))&gt;left(tipp!X45,find(":",tipp!X45)-1),2,"x"))=tipp!$I45,tipp!$J45*pontozas!$B$1)+if(left(tipp!X45,find(":",tipp!X45)-1)-right(tipp!X45,(len(tipp!X45)-find(":",tipp!X45)))=tipp!$G45-tipp!$H45,pontozas!$B$2,0)+if(tipp!X45=tipp!$F45,pontozas!$B$3),""),"")</f>
        <v/>
      </c>
    </row>
    <row r="47">
      <c r="A47" t="str">
        <f>CONCATENATE(tipp!A46&amp;" : "&amp;tipp!B46)</f>
        <v>Canada : Finland</v>
      </c>
      <c r="B47" s="27">
        <f>if(B$1&lt;&gt;"",iferror(if(if(left(tipp!K46,find(":",tipp!K46)-1)&gt;right(tipp!K46,(len(tipp!K46)-find(":",tipp!K46))),1,if(right(tipp!K46,(len(tipp!K46)-find(":",tipp!K46)))&gt;left(tipp!K46,find(":",tipp!K46)-1),2,"x"))=tipp!$I46,tipp!$J46*pontozas!$B$1)+if(left(tipp!K46,find(":",tipp!K46)-1)-right(tipp!K46,(len(tipp!K46)-find(":",tipp!K46)))=tipp!$G46-tipp!$H46,pontozas!$B$2,0)+if(tipp!K46=tipp!$F46,pontozas!$B$3),""),"")</f>
        <v>0</v>
      </c>
      <c r="C47" s="27">
        <f>if(C$1&lt;&gt;"",iferror(if(if(left(tipp!L46,find(":",tipp!L46)-1)&gt;right(tipp!L46,(len(tipp!L46)-find(":",tipp!L46))),1,if(right(tipp!L46,(len(tipp!L46)-find(":",tipp!L46)))&gt;left(tipp!L46,find(":",tipp!L46)-1),2,"x"))=tipp!$I46,tipp!$J46*pontozas!$B$1)+if(left(tipp!L46,find(":",tipp!L46)-1)-right(tipp!L46,(len(tipp!L46)-find(":",tipp!L46)))=tipp!$G46-tipp!$H46,pontozas!$B$2,0)+if(tipp!L46=tipp!$F46,pontozas!$B$3),""),"")</f>
        <v>3.85</v>
      </c>
      <c r="D47" s="27">
        <f>if(D$1&lt;&gt;"",iferror(if(if(left(tipp!M46,find(":",tipp!M46)-1)&gt;right(tipp!M46,(len(tipp!M46)-find(":",tipp!M46))),1,if(right(tipp!M46,(len(tipp!M46)-find(":",tipp!M46)))&gt;left(tipp!M46,find(":",tipp!M46)-1),2,"x"))=tipp!$I46,tipp!$J46*pontozas!$B$1)+if(left(tipp!M46,find(":",tipp!M46)-1)-right(tipp!M46,(len(tipp!M46)-find(":",tipp!M46)))=tipp!$G46-tipp!$H46,pontozas!$B$2,0)+if(tipp!M46=tipp!$F46,pontozas!$B$3),""),"")</f>
        <v>3.85</v>
      </c>
      <c r="E47" s="27" t="str">
        <f>if(E$1&lt;&gt;"",iferror(if(if(left(tipp!N46,find(":",tipp!N46)-1)&gt;right(tipp!N46,(len(tipp!N46)-find(":",tipp!N46))),1,if(right(tipp!N46,(len(tipp!N46)-find(":",tipp!N46)))&gt;left(tipp!N46,find(":",tipp!N46)-1),2,"x"))=tipp!$I46,tipp!$J46*pontozas!$B$1)+if(left(tipp!N46,find(":",tipp!N46)-1)-right(tipp!N46,(len(tipp!N46)-find(":",tipp!N46)))=tipp!$G46-tipp!$H46,pontozas!$B$2,0)+if(tipp!N46=tipp!$F46,pontozas!$B$3),""),"")</f>
        <v/>
      </c>
      <c r="F47" s="27">
        <f>if(F$1&lt;&gt;"",iferror(if(if(left(tipp!O46,find(":",tipp!O46)-1)&gt;right(tipp!O46,(len(tipp!O46)-find(":",tipp!O46))),1,if(right(tipp!O46,(len(tipp!O46)-find(":",tipp!O46)))&gt;left(tipp!O46,find(":",tipp!O46)-1),2,"x"))=tipp!$I46,tipp!$J46*pontozas!$B$1)+if(left(tipp!O46,find(":",tipp!O46)-1)-right(tipp!O46,(len(tipp!O46)-find(":",tipp!O46)))=tipp!$G46-tipp!$H46,pontozas!$B$2,0)+if(tipp!O46=tipp!$F46,pontozas!$B$3),""),"")</f>
        <v>0</v>
      </c>
      <c r="G47" s="27" t="str">
        <f>if(G$1&lt;&gt;"",iferror(if(if(left(tipp!P46,find(":",tipp!P46)-1)&gt;right(tipp!P46,(len(tipp!P46)-find(":",tipp!P46))),1,if(right(tipp!P46,(len(tipp!P46)-find(":",tipp!P46)))&gt;left(tipp!P46,find(":",tipp!P46)-1),2,"x"))=tipp!$I46,tipp!$J46*pontozas!$B$1)+if(left(tipp!P46,find(":",tipp!P46)-1)-right(tipp!P46,(len(tipp!P46)-find(":",tipp!P46)))=tipp!$G46-tipp!$H46,pontozas!$B$2,0)+if(tipp!P46=tipp!$F46,pontozas!$B$3),""),"")</f>
        <v/>
      </c>
      <c r="H47" s="27">
        <f>if(H$1&lt;&gt;"",iferror(if(if(left(tipp!Q46,find(":",tipp!Q46)-1)&gt;right(tipp!Q46,(len(tipp!Q46)-find(":",tipp!Q46))),1,if(right(tipp!Q46,(len(tipp!Q46)-find(":",tipp!Q46)))&gt;left(tipp!Q46,find(":",tipp!Q46)-1),2,"x"))=tipp!$I46,tipp!$J46*pontozas!$B$1)+if(left(tipp!Q46,find(":",tipp!Q46)-1)-right(tipp!Q46,(len(tipp!Q46)-find(":",tipp!Q46)))=tipp!$G46-tipp!$H46,pontozas!$B$2,0)+if(tipp!Q46=tipp!$F46,pontozas!$B$3),""),"")</f>
        <v>0</v>
      </c>
      <c r="I47" s="27" t="str">
        <f>if(I$1&lt;&gt;"",iferror(if(if(left(tipp!R46,find(":",tipp!R46)-1)&gt;right(tipp!R46,(len(tipp!R46)-find(":",tipp!R46))),1,if(right(tipp!R46,(len(tipp!R46)-find(":",tipp!R46)))&gt;left(tipp!R46,find(":",tipp!R46)-1),2,"x"))=tipp!$I46,tipp!$J46*pontozas!$B$1)+if(left(tipp!R46,find(":",tipp!R46)-1)-right(tipp!R46,(len(tipp!R46)-find(":",tipp!R46)))=tipp!$G46-tipp!$H46,pontozas!$B$2,0)+if(tipp!R46=tipp!$F46,pontozas!$B$3),""),"")</f>
        <v/>
      </c>
      <c r="J47" t="str">
        <f>if(J$1&lt;&gt;"",iferror(if(if(left(tipp!S46,find(":",tipp!S46)-1)&gt;right(tipp!S46,(len(tipp!S46)-find(":",tipp!S46))),1,if(right(tipp!S46,(len(tipp!S46)-find(":",tipp!S46)))&gt;left(tipp!S46,find(":",tipp!S46)-1),2,"x"))=tipp!$I46,tipp!$J46*pontozas!$B$1)+if(left(tipp!S46,find(":",tipp!S46)-1)-right(tipp!S46,(len(tipp!S46)-find(":",tipp!S46)))=tipp!$G46-tipp!$H46,pontozas!$B$2,0)+if(tipp!S46=tipp!$F46,pontozas!$B$3),""),"")</f>
        <v/>
      </c>
      <c r="K47" t="str">
        <f>if(K$1&lt;&gt;"",iferror(if(if(left(tipp!T46,find(":",tipp!T46)-1)&gt;right(tipp!T46,(len(tipp!T46)-find(":",tipp!T46))),1,if(right(tipp!T46,(len(tipp!T46)-find(":",tipp!T46)))&gt;left(tipp!T46,find(":",tipp!T46)-1),2,"x"))=tipp!$I46,tipp!$J46*pontozas!$B$1)+if(left(tipp!T46,find(":",tipp!T46)-1)-right(tipp!T46,(len(tipp!T46)-find(":",tipp!T46)))=tipp!$G46-tipp!$H46,pontozas!$B$2,0)+if(tipp!T46=tipp!$F46,pontozas!$B$3),""),"")</f>
        <v/>
      </c>
      <c r="L47" t="str">
        <f>if(L$1&lt;&gt;"",iferror(if(if(left(tipp!U46,find(":",tipp!U46)-1)&gt;right(tipp!U46,(len(tipp!U46)-find(":",tipp!U46))),1,if(right(tipp!U46,(len(tipp!U46)-find(":",tipp!U46)))&gt;left(tipp!U46,find(":",tipp!U46)-1),2,"x"))=tipp!$I46,tipp!$J46*pontozas!$B$1)+if(left(tipp!U46,find(":",tipp!U46)-1)-right(tipp!U46,(len(tipp!U46)-find(":",tipp!U46)))=tipp!$G46-tipp!$H46,pontozas!$B$2,0)+if(tipp!U46=tipp!$F46,pontozas!$B$3),""),"")</f>
        <v/>
      </c>
      <c r="M47" t="str">
        <f>if(M$1&lt;&gt;"",iferror(if(if(left(tipp!V46,find(":",tipp!V46)-1)&gt;right(tipp!V46,(len(tipp!V46)-find(":",tipp!V46))),1,if(right(tipp!V46,(len(tipp!V46)-find(":",tipp!V46)))&gt;left(tipp!V46,find(":",tipp!V46)-1),2,"x"))=tipp!$I46,tipp!$J46*pontozas!$B$1)+if(left(tipp!V46,find(":",tipp!V46)-1)-right(tipp!V46,(len(tipp!V46)-find(":",tipp!V46)))=tipp!$G46-tipp!$H46,pontozas!$B$2,0)+if(tipp!V46=tipp!$F46,pontozas!$B$3),""),"")</f>
        <v/>
      </c>
      <c r="N47" t="str">
        <f>if(N$1&lt;&gt;"",iferror(if(if(left(tipp!W46,find(":",tipp!W46)-1)&gt;right(tipp!W46,(len(tipp!W46)-find(":",tipp!W46))),1,if(right(tipp!W46,(len(tipp!W46)-find(":",tipp!W46)))&gt;left(tipp!W46,find(":",tipp!W46)-1),2,"x"))=tipp!$I46,tipp!$J46*pontozas!$B$1)+if(left(tipp!W46,find(":",tipp!W46)-1)-right(tipp!W46,(len(tipp!W46)-find(":",tipp!W46)))=tipp!$G46-tipp!$H46,pontozas!$B$2,0)+if(tipp!W46=tipp!$F46,pontozas!$B$3),""),"")</f>
        <v/>
      </c>
      <c r="O47" t="str">
        <f>if(O$1&lt;&gt;"",iferror(if(if(left(tipp!X46,find(":",tipp!X46)-1)&gt;right(tipp!X46,(len(tipp!X46)-find(":",tipp!X46))),1,if(right(tipp!X46,(len(tipp!X46)-find(":",tipp!X46)))&gt;left(tipp!X46,find(":",tipp!X46)-1),2,"x"))=tipp!$I46,tipp!$J46*pontozas!$B$1)+if(left(tipp!X46,find(":",tipp!X46)-1)-right(tipp!X46,(len(tipp!X46)-find(":",tipp!X46)))=tipp!$G46-tipp!$H46,pontozas!$B$2,0)+if(tipp!X46=tipp!$F46,pontozas!$B$3),""),"")</f>
        <v/>
      </c>
    </row>
    <row r="48">
      <c r="A48" t="str">
        <f>CONCATENATE(tipp!A47&amp;" : "&amp;tipp!B47)</f>
        <v>France : Czech Republic</v>
      </c>
      <c r="B48" s="27">
        <f>if(B$1&lt;&gt;"",iferror(if(if(left(tipp!K47,find(":",tipp!K47)-1)&gt;right(tipp!K47,(len(tipp!K47)-find(":",tipp!K47))),1,if(right(tipp!K47,(len(tipp!K47)-find(":",tipp!K47)))&gt;left(tipp!K47,find(":",tipp!K47)-1),2,"x"))=tipp!$I47,tipp!$J47*pontozas!$B$1)+if(left(tipp!K47,find(":",tipp!K47)-1)-right(tipp!K47,(len(tipp!K47)-find(":",tipp!K47)))=tipp!$G47-tipp!$H47,pontozas!$B$2,0)+if(tipp!K47=tipp!$F47,pontozas!$B$3),""),"")</f>
        <v>0</v>
      </c>
      <c r="C48" s="27">
        <f>if(C$1&lt;&gt;"",iferror(if(if(left(tipp!L47,find(":",tipp!L47)-1)&gt;right(tipp!L47,(len(tipp!L47)-find(":",tipp!L47))),1,if(right(tipp!L47,(len(tipp!L47)-find(":",tipp!L47)))&gt;left(tipp!L47,find(":",tipp!L47)-1),2,"x"))=tipp!$I47,tipp!$J47*pontozas!$B$1)+if(left(tipp!L47,find(":",tipp!L47)-1)-right(tipp!L47,(len(tipp!L47)-find(":",tipp!L47)))=tipp!$G47-tipp!$H47,pontozas!$B$2,0)+if(tipp!L47=tipp!$F47,pontozas!$B$3),""),"")</f>
        <v>1.25</v>
      </c>
      <c r="D48" s="27">
        <f>if(D$1&lt;&gt;"",iferror(if(if(left(tipp!M47,find(":",tipp!M47)-1)&gt;right(tipp!M47,(len(tipp!M47)-find(":",tipp!M47))),1,if(right(tipp!M47,(len(tipp!M47)-find(":",tipp!M47)))&gt;left(tipp!M47,find(":",tipp!M47)-1),2,"x"))=tipp!$I47,tipp!$J47*pontozas!$B$1)+if(left(tipp!M47,find(":",tipp!M47)-1)-right(tipp!M47,(len(tipp!M47)-find(":",tipp!M47)))=tipp!$G47-tipp!$H47,pontozas!$B$2,0)+if(tipp!M47=tipp!$F47,pontozas!$B$3),""),"")</f>
        <v>1.25</v>
      </c>
      <c r="E48" s="27">
        <f>if(E$1&lt;&gt;"",iferror(if(if(left(tipp!N47,find(":",tipp!N47)-1)&gt;right(tipp!N47,(len(tipp!N47)-find(":",tipp!N47))),1,if(right(tipp!N47,(len(tipp!N47)-find(":",tipp!N47)))&gt;left(tipp!N47,find(":",tipp!N47)-1),2,"x"))=tipp!$I47,tipp!$J47*pontozas!$B$1)+if(left(tipp!N47,find(":",tipp!N47)-1)-right(tipp!N47,(len(tipp!N47)-find(":",tipp!N47)))=tipp!$G47-tipp!$H47,pontozas!$B$2,0)+if(tipp!N47=tipp!$F47,pontozas!$B$3),""),"")</f>
        <v>1.25</v>
      </c>
      <c r="F48" s="27">
        <f>if(F$1&lt;&gt;"",iferror(if(if(left(tipp!O47,find(":",tipp!O47)-1)&gt;right(tipp!O47,(len(tipp!O47)-find(":",tipp!O47))),1,if(right(tipp!O47,(len(tipp!O47)-find(":",tipp!O47)))&gt;left(tipp!O47,find(":",tipp!O47)-1),2,"x"))=tipp!$I47,tipp!$J47*pontozas!$B$1)+if(left(tipp!O47,find(":",tipp!O47)-1)-right(tipp!O47,(len(tipp!O47)-find(":",tipp!O47)))=tipp!$G47-tipp!$H47,pontozas!$B$2,0)+if(tipp!O47=tipp!$F47,pontozas!$B$3),""),"")</f>
        <v>1.25</v>
      </c>
      <c r="G48" s="27" t="str">
        <f>if(G$1&lt;&gt;"",iferror(if(if(left(tipp!P47,find(":",tipp!P47)-1)&gt;right(tipp!P47,(len(tipp!P47)-find(":",tipp!P47))),1,if(right(tipp!P47,(len(tipp!P47)-find(":",tipp!P47)))&gt;left(tipp!P47,find(":",tipp!P47)-1),2,"x"))=tipp!$I47,tipp!$J47*pontozas!$B$1)+if(left(tipp!P47,find(":",tipp!P47)-1)-right(tipp!P47,(len(tipp!P47)-find(":",tipp!P47)))=tipp!$G47-tipp!$H47,pontozas!$B$2,0)+if(tipp!P47=tipp!$F47,pontozas!$B$3),""),"")</f>
        <v/>
      </c>
      <c r="H48" s="27">
        <f>if(H$1&lt;&gt;"",iferror(if(if(left(tipp!Q47,find(":",tipp!Q47)-1)&gt;right(tipp!Q47,(len(tipp!Q47)-find(":",tipp!Q47))),1,if(right(tipp!Q47,(len(tipp!Q47)-find(":",tipp!Q47)))&gt;left(tipp!Q47,find(":",tipp!Q47)-1),2,"x"))=tipp!$I47,tipp!$J47*pontozas!$B$1)+if(left(tipp!Q47,find(":",tipp!Q47)-1)-right(tipp!Q47,(len(tipp!Q47)-find(":",tipp!Q47)))=tipp!$G47-tipp!$H47,pontozas!$B$2,0)+if(tipp!Q47=tipp!$F47,pontozas!$B$3),""),"")</f>
        <v>1.25</v>
      </c>
      <c r="I48" s="27" t="str">
        <f>if(I$1&lt;&gt;"",iferror(if(if(left(tipp!R47,find(":",tipp!R47)-1)&gt;right(tipp!R47,(len(tipp!R47)-find(":",tipp!R47))),1,if(right(tipp!R47,(len(tipp!R47)-find(":",tipp!R47)))&gt;left(tipp!R47,find(":",tipp!R47)-1),2,"x"))=tipp!$I47,tipp!$J47*pontozas!$B$1)+if(left(tipp!R47,find(":",tipp!R47)-1)-right(tipp!R47,(len(tipp!R47)-find(":",tipp!R47)))=tipp!$G47-tipp!$H47,pontozas!$B$2,0)+if(tipp!R47=tipp!$F47,pontozas!$B$3),""),"")</f>
        <v/>
      </c>
      <c r="J48" t="str">
        <f>if(J$1&lt;&gt;"",iferror(if(if(left(tipp!S47,find(":",tipp!S47)-1)&gt;right(tipp!S47,(len(tipp!S47)-find(":",tipp!S47))),1,if(right(tipp!S47,(len(tipp!S47)-find(":",tipp!S47)))&gt;left(tipp!S47,find(":",tipp!S47)-1),2,"x"))=tipp!$I47,tipp!$J47*pontozas!$B$1)+if(left(tipp!S47,find(":",tipp!S47)-1)-right(tipp!S47,(len(tipp!S47)-find(":",tipp!S47)))=tipp!$G47-tipp!$H47,pontozas!$B$2,0)+if(tipp!S47=tipp!$F47,pontozas!$B$3),""),"")</f>
        <v/>
      </c>
      <c r="K48" t="str">
        <f>if(K$1&lt;&gt;"",iferror(if(if(left(tipp!T47,find(":",tipp!T47)-1)&gt;right(tipp!T47,(len(tipp!T47)-find(":",tipp!T47))),1,if(right(tipp!T47,(len(tipp!T47)-find(":",tipp!T47)))&gt;left(tipp!T47,find(":",tipp!T47)-1),2,"x"))=tipp!$I47,tipp!$J47*pontozas!$B$1)+if(left(tipp!T47,find(":",tipp!T47)-1)-right(tipp!T47,(len(tipp!T47)-find(":",tipp!T47)))=tipp!$G47-tipp!$H47,pontozas!$B$2,0)+if(tipp!T47=tipp!$F47,pontozas!$B$3),""),"")</f>
        <v/>
      </c>
      <c r="L48" t="str">
        <f>if(L$1&lt;&gt;"",iferror(if(if(left(tipp!U47,find(":",tipp!U47)-1)&gt;right(tipp!U47,(len(tipp!U47)-find(":",tipp!U47))),1,if(right(tipp!U47,(len(tipp!U47)-find(":",tipp!U47)))&gt;left(tipp!U47,find(":",tipp!U47)-1),2,"x"))=tipp!$I47,tipp!$J47*pontozas!$B$1)+if(left(tipp!U47,find(":",tipp!U47)-1)-right(tipp!U47,(len(tipp!U47)-find(":",tipp!U47)))=tipp!$G47-tipp!$H47,pontozas!$B$2,0)+if(tipp!U47=tipp!$F47,pontozas!$B$3),""),"")</f>
        <v/>
      </c>
      <c r="M48" t="str">
        <f>if(M$1&lt;&gt;"",iferror(if(if(left(tipp!V47,find(":",tipp!V47)-1)&gt;right(tipp!V47,(len(tipp!V47)-find(":",tipp!V47))),1,if(right(tipp!V47,(len(tipp!V47)-find(":",tipp!V47)))&gt;left(tipp!V47,find(":",tipp!V47)-1),2,"x"))=tipp!$I47,tipp!$J47*pontozas!$B$1)+if(left(tipp!V47,find(":",tipp!V47)-1)-right(tipp!V47,(len(tipp!V47)-find(":",tipp!V47)))=tipp!$G47-tipp!$H47,pontozas!$B$2,0)+if(tipp!V47=tipp!$F47,pontozas!$B$3),""),"")</f>
        <v/>
      </c>
      <c r="N48" t="str">
        <f>if(N$1&lt;&gt;"",iferror(if(if(left(tipp!W47,find(":",tipp!W47)-1)&gt;right(tipp!W47,(len(tipp!W47)-find(":",tipp!W47))),1,if(right(tipp!W47,(len(tipp!W47)-find(":",tipp!W47)))&gt;left(tipp!W47,find(":",tipp!W47)-1),2,"x"))=tipp!$I47,tipp!$J47*pontozas!$B$1)+if(left(tipp!W47,find(":",tipp!W47)-1)-right(tipp!W47,(len(tipp!W47)-find(":",tipp!W47)))=tipp!$G47-tipp!$H47,pontozas!$B$2,0)+if(tipp!W47=tipp!$F47,pontozas!$B$3),""),"")</f>
        <v/>
      </c>
      <c r="O48" t="str">
        <f>if(O$1&lt;&gt;"",iferror(if(if(left(tipp!X47,find(":",tipp!X47)-1)&gt;right(tipp!X47,(len(tipp!X47)-find(":",tipp!X47))),1,if(right(tipp!X47,(len(tipp!X47)-find(":",tipp!X47)))&gt;left(tipp!X47,find(":",tipp!X47)-1),2,"x"))=tipp!$I47,tipp!$J47*pontozas!$B$1)+if(left(tipp!X47,find(":",tipp!X47)-1)-right(tipp!X47,(len(tipp!X47)-find(":",tipp!X47)))=tipp!$G47-tipp!$H47,pontozas!$B$2,0)+if(tipp!X47=tipp!$F47,pontozas!$B$3),""),"")</f>
        <v/>
      </c>
    </row>
    <row r="49">
      <c r="A49" t="str">
        <f>CONCATENATE(tipp!A48&amp;" : "&amp;tipp!B48)</f>
        <v>Switzerland : Sweden</v>
      </c>
      <c r="B49" s="27">
        <f>if(B$1&lt;&gt;"",iferror(if(if(left(tipp!K48,find(":",tipp!K48)-1)&gt;right(tipp!K48,(len(tipp!K48)-find(":",tipp!K48))),1,if(right(tipp!K48,(len(tipp!K48)-find(":",tipp!K48)))&gt;left(tipp!K48,find(":",tipp!K48)-1),2,"x"))=tipp!$I48,tipp!$J48*pontozas!$B$1)+if(left(tipp!K48,find(":",tipp!K48)-1)-right(tipp!K48,(len(tipp!K48)-find(":",tipp!K48)))=tipp!$G48-tipp!$H48,pontozas!$B$2,0)+if(tipp!K48=tipp!$F48,pontozas!$B$3),""),"")</f>
        <v>0</v>
      </c>
      <c r="C49" s="27">
        <f>if(C$1&lt;&gt;"",iferror(if(if(left(tipp!L48,find(":",tipp!L48)-1)&gt;right(tipp!L48,(len(tipp!L48)-find(":",tipp!L48))),1,if(right(tipp!L48,(len(tipp!L48)-find(":",tipp!L48)))&gt;left(tipp!L48,find(":",tipp!L48)-1),2,"x"))=tipp!$I48,tipp!$J48*pontozas!$B$1)+if(left(tipp!L48,find(":",tipp!L48)-1)-right(tipp!L48,(len(tipp!L48)-find(":",tipp!L48)))=tipp!$G48-tipp!$H48,pontozas!$B$2,0)+if(tipp!L48=tipp!$F48,pontozas!$B$3),""),"")</f>
        <v>0</v>
      </c>
      <c r="D49" s="27">
        <f>if(D$1&lt;&gt;"",iferror(if(if(left(tipp!M48,find(":",tipp!M48)-1)&gt;right(tipp!M48,(len(tipp!M48)-find(":",tipp!M48))),1,if(right(tipp!M48,(len(tipp!M48)-find(":",tipp!M48)))&gt;left(tipp!M48,find(":",tipp!M48)-1),2,"x"))=tipp!$I48,tipp!$J48*pontozas!$B$1)+if(left(tipp!M48,find(":",tipp!M48)-1)-right(tipp!M48,(len(tipp!M48)-find(":",tipp!M48)))=tipp!$G48-tipp!$H48,pontozas!$B$2,0)+if(tipp!M48=tipp!$F48,pontozas!$B$3),""),"")</f>
        <v>2.33</v>
      </c>
      <c r="E49" s="27">
        <f>if(E$1&lt;&gt;"",iferror(if(if(left(tipp!N48,find(":",tipp!N48)-1)&gt;right(tipp!N48,(len(tipp!N48)-find(":",tipp!N48))),1,if(right(tipp!N48,(len(tipp!N48)-find(":",tipp!N48)))&gt;left(tipp!N48,find(":",tipp!N48)-1),2,"x"))=tipp!$I48,tipp!$J48*pontozas!$B$1)+if(left(tipp!N48,find(":",tipp!N48)-1)-right(tipp!N48,(len(tipp!N48)-find(":",tipp!N48)))=tipp!$G48-tipp!$H48,pontozas!$B$2,0)+if(tipp!N48=tipp!$F48,pontozas!$B$3),""),"")</f>
        <v>2.33</v>
      </c>
      <c r="F49" s="27">
        <f>if(F$1&lt;&gt;"",iferror(if(if(left(tipp!O48,find(":",tipp!O48)-1)&gt;right(tipp!O48,(len(tipp!O48)-find(":",tipp!O48))),1,if(right(tipp!O48,(len(tipp!O48)-find(":",tipp!O48)))&gt;left(tipp!O48,find(":",tipp!O48)-1),2,"x"))=tipp!$I48,tipp!$J48*pontozas!$B$1)+if(left(tipp!O48,find(":",tipp!O48)-1)-right(tipp!O48,(len(tipp!O48)-find(":",tipp!O48)))=tipp!$G48-tipp!$H48,pontozas!$B$2,0)+if(tipp!O48=tipp!$F48,pontozas!$B$3),""),"")</f>
        <v>2.33</v>
      </c>
      <c r="G49" s="27" t="str">
        <f>if(G$1&lt;&gt;"",iferror(if(if(left(tipp!P48,find(":",tipp!P48)-1)&gt;right(tipp!P48,(len(tipp!P48)-find(":",tipp!P48))),1,if(right(tipp!P48,(len(tipp!P48)-find(":",tipp!P48)))&gt;left(tipp!P48,find(":",tipp!P48)-1),2,"x"))=tipp!$I48,tipp!$J48*pontozas!$B$1)+if(left(tipp!P48,find(":",tipp!P48)-1)-right(tipp!P48,(len(tipp!P48)-find(":",tipp!P48)))=tipp!$G48-tipp!$H48,pontozas!$B$2,0)+if(tipp!P48=tipp!$F48,pontozas!$B$3),""),"")</f>
        <v/>
      </c>
      <c r="H49" s="27">
        <f>if(H$1&lt;&gt;"",iferror(if(if(left(tipp!Q48,find(":",tipp!Q48)-1)&gt;right(tipp!Q48,(len(tipp!Q48)-find(":",tipp!Q48))),1,if(right(tipp!Q48,(len(tipp!Q48)-find(":",tipp!Q48)))&gt;left(tipp!Q48,find(":",tipp!Q48)-1),2,"x"))=tipp!$I48,tipp!$J48*pontozas!$B$1)+if(left(tipp!Q48,find(":",tipp!Q48)-1)-right(tipp!Q48,(len(tipp!Q48)-find(":",tipp!Q48)))=tipp!$G48-tipp!$H48,pontozas!$B$2,0)+if(tipp!Q48=tipp!$F48,pontozas!$B$3),""),"")</f>
        <v>2.33</v>
      </c>
      <c r="I49" s="27" t="str">
        <f>if(I$1&lt;&gt;"",iferror(if(if(left(tipp!R48,find(":",tipp!R48)-1)&gt;right(tipp!R48,(len(tipp!R48)-find(":",tipp!R48))),1,if(right(tipp!R48,(len(tipp!R48)-find(":",tipp!R48)))&gt;left(tipp!R48,find(":",tipp!R48)-1),2,"x"))=tipp!$I48,tipp!$J48*pontozas!$B$1)+if(left(tipp!R48,find(":",tipp!R48)-1)-right(tipp!R48,(len(tipp!R48)-find(":",tipp!R48)))=tipp!$G48-tipp!$H48,pontozas!$B$2,0)+if(tipp!R48=tipp!$F48,pontozas!$B$3),""),"")</f>
        <v/>
      </c>
      <c r="J49" t="str">
        <f>if(J$1&lt;&gt;"",iferror(if(if(left(tipp!S48,find(":",tipp!S48)-1)&gt;right(tipp!S48,(len(tipp!S48)-find(":",tipp!S48))),1,if(right(tipp!S48,(len(tipp!S48)-find(":",tipp!S48)))&gt;left(tipp!S48,find(":",tipp!S48)-1),2,"x"))=tipp!$I48,tipp!$J48*pontozas!$B$1)+if(left(tipp!S48,find(":",tipp!S48)-1)-right(tipp!S48,(len(tipp!S48)-find(":",tipp!S48)))=tipp!$G48-tipp!$H48,pontozas!$B$2,0)+if(tipp!S48=tipp!$F48,pontozas!$B$3),""),"")</f>
        <v/>
      </c>
      <c r="K49" t="str">
        <f>if(K$1&lt;&gt;"",iferror(if(if(left(tipp!T48,find(":",tipp!T48)-1)&gt;right(tipp!T48,(len(tipp!T48)-find(":",tipp!T48))),1,if(right(tipp!T48,(len(tipp!T48)-find(":",tipp!T48)))&gt;left(tipp!T48,find(":",tipp!T48)-1),2,"x"))=tipp!$I48,tipp!$J48*pontozas!$B$1)+if(left(tipp!T48,find(":",tipp!T48)-1)-right(tipp!T48,(len(tipp!T48)-find(":",tipp!T48)))=tipp!$G48-tipp!$H48,pontozas!$B$2,0)+if(tipp!T48=tipp!$F48,pontozas!$B$3),""),"")</f>
        <v/>
      </c>
      <c r="L49" t="str">
        <f>if(L$1&lt;&gt;"",iferror(if(if(left(tipp!U48,find(":",tipp!U48)-1)&gt;right(tipp!U48,(len(tipp!U48)-find(":",tipp!U48))),1,if(right(tipp!U48,(len(tipp!U48)-find(":",tipp!U48)))&gt;left(tipp!U48,find(":",tipp!U48)-1),2,"x"))=tipp!$I48,tipp!$J48*pontozas!$B$1)+if(left(tipp!U48,find(":",tipp!U48)-1)-right(tipp!U48,(len(tipp!U48)-find(":",tipp!U48)))=tipp!$G48-tipp!$H48,pontozas!$B$2,0)+if(tipp!U48=tipp!$F48,pontozas!$B$3),""),"")</f>
        <v/>
      </c>
      <c r="M49" t="str">
        <f>if(M$1&lt;&gt;"",iferror(if(if(left(tipp!V48,find(":",tipp!V48)-1)&gt;right(tipp!V48,(len(tipp!V48)-find(":",tipp!V48))),1,if(right(tipp!V48,(len(tipp!V48)-find(":",tipp!V48)))&gt;left(tipp!V48,find(":",tipp!V48)-1),2,"x"))=tipp!$I48,tipp!$J48*pontozas!$B$1)+if(left(tipp!V48,find(":",tipp!V48)-1)-right(tipp!V48,(len(tipp!V48)-find(":",tipp!V48)))=tipp!$G48-tipp!$H48,pontozas!$B$2,0)+if(tipp!V48=tipp!$F48,pontozas!$B$3),""),"")</f>
        <v/>
      </c>
      <c r="N49" t="str">
        <f>if(N$1&lt;&gt;"",iferror(if(if(left(tipp!W48,find(":",tipp!W48)-1)&gt;right(tipp!W48,(len(tipp!W48)-find(":",tipp!W48))),1,if(right(tipp!W48,(len(tipp!W48)-find(":",tipp!W48)))&gt;left(tipp!W48,find(":",tipp!W48)-1),2,"x"))=tipp!$I48,tipp!$J48*pontozas!$B$1)+if(left(tipp!W48,find(":",tipp!W48)-1)-right(tipp!W48,(len(tipp!W48)-find(":",tipp!W48)))=tipp!$G48-tipp!$H48,pontozas!$B$2,0)+if(tipp!W48=tipp!$F48,pontozas!$B$3),""),"")</f>
        <v/>
      </c>
      <c r="O49" t="str">
        <f>if(O$1&lt;&gt;"",iferror(if(if(left(tipp!X48,find(":",tipp!X48)-1)&gt;right(tipp!X48,(len(tipp!X48)-find(":",tipp!X48))),1,if(right(tipp!X48,(len(tipp!X48)-find(":",tipp!X48)))&gt;left(tipp!X48,find(":",tipp!X48)-1),2,"x"))=tipp!$I48,tipp!$J48*pontozas!$B$1)+if(left(tipp!X48,find(":",tipp!X48)-1)-right(tipp!X48,(len(tipp!X48)-find(":",tipp!X48)))=tipp!$G48-tipp!$H48,pontozas!$B$2,0)+if(tipp!X48=tipp!$F48,pontozas!$B$3),""),"")</f>
        <v/>
      </c>
    </row>
    <row r="50">
      <c r="A50" t="str">
        <f>CONCATENATE(tipp!A49&amp;" : "&amp;tipp!B49)</f>
        <v>Norway : United States</v>
      </c>
      <c r="B50" s="27">
        <f>if(B$1&lt;&gt;"",iferror(if(if(left(tipp!K49,find(":",tipp!K49)-1)&gt;right(tipp!K49,(len(tipp!K49)-find(":",tipp!K49))),1,if(right(tipp!K49,(len(tipp!K49)-find(":",tipp!K49)))&gt;left(tipp!K49,find(":",tipp!K49)-1),2,"x"))=tipp!$I49,tipp!$J49*pontozas!$B$1)+if(left(tipp!K49,find(":",tipp!K49)-1)-right(tipp!K49,(len(tipp!K49)-find(":",tipp!K49)))=tipp!$G49-tipp!$H49,pontozas!$B$2,0)+if(tipp!K49=tipp!$F49,pontozas!$B$3),""),"")</f>
        <v>0</v>
      </c>
      <c r="C50" s="27">
        <f>if(C$1&lt;&gt;"",iferror(if(if(left(tipp!L49,find(":",tipp!L49)-1)&gt;right(tipp!L49,(len(tipp!L49)-find(":",tipp!L49))),1,if(right(tipp!L49,(len(tipp!L49)-find(":",tipp!L49)))&gt;left(tipp!L49,find(":",tipp!L49)-1),2,"x"))=tipp!$I49,tipp!$J49*pontozas!$B$1)+if(left(tipp!L49,find(":",tipp!L49)-1)-right(tipp!L49,(len(tipp!L49)-find(":",tipp!L49)))=tipp!$G49-tipp!$H49,pontozas!$B$2,0)+if(tipp!L49=tipp!$F49,pontozas!$B$3),""),"")</f>
        <v>1.28</v>
      </c>
      <c r="D50" s="27">
        <f>if(D$1&lt;&gt;"",iferror(if(if(left(tipp!M49,find(":",tipp!M49)-1)&gt;right(tipp!M49,(len(tipp!M49)-find(":",tipp!M49))),1,if(right(tipp!M49,(len(tipp!M49)-find(":",tipp!M49)))&gt;left(tipp!M49,find(":",tipp!M49)-1),2,"x"))=tipp!$I49,tipp!$J49*pontozas!$B$1)+if(left(tipp!M49,find(":",tipp!M49)-1)-right(tipp!M49,(len(tipp!M49)-find(":",tipp!M49)))=tipp!$G49-tipp!$H49,pontozas!$B$2,0)+if(tipp!M49=tipp!$F49,pontozas!$B$3),""),"")</f>
        <v>1.28</v>
      </c>
      <c r="E50" s="27">
        <f>if(E$1&lt;&gt;"",iferror(if(if(left(tipp!N49,find(":",tipp!N49)-1)&gt;right(tipp!N49,(len(tipp!N49)-find(":",tipp!N49))),1,if(right(tipp!N49,(len(tipp!N49)-find(":",tipp!N49)))&gt;left(tipp!N49,find(":",tipp!N49)-1),2,"x"))=tipp!$I49,tipp!$J49*pontozas!$B$1)+if(left(tipp!N49,find(":",tipp!N49)-1)-right(tipp!N49,(len(tipp!N49)-find(":",tipp!N49)))=tipp!$G49-tipp!$H49,pontozas!$B$2,0)+if(tipp!N49=tipp!$F49,pontozas!$B$3),""),"")</f>
        <v>2.28</v>
      </c>
      <c r="F50" s="27">
        <f>if(F$1&lt;&gt;"",iferror(if(if(left(tipp!O49,find(":",tipp!O49)-1)&gt;right(tipp!O49,(len(tipp!O49)-find(":",tipp!O49))),1,if(right(tipp!O49,(len(tipp!O49)-find(":",tipp!O49)))&gt;left(tipp!O49,find(":",tipp!O49)-1),2,"x"))=tipp!$I49,tipp!$J49*pontozas!$B$1)+if(left(tipp!O49,find(":",tipp!O49)-1)-right(tipp!O49,(len(tipp!O49)-find(":",tipp!O49)))=tipp!$G49-tipp!$H49,pontozas!$B$2,0)+if(tipp!O49=tipp!$F49,pontozas!$B$3),""),"")</f>
        <v>1.28</v>
      </c>
      <c r="G50" s="27" t="str">
        <f>if(G$1&lt;&gt;"",iferror(if(if(left(tipp!P49,find(":",tipp!P49)-1)&gt;right(tipp!P49,(len(tipp!P49)-find(":",tipp!P49))),1,if(right(tipp!P49,(len(tipp!P49)-find(":",tipp!P49)))&gt;left(tipp!P49,find(":",tipp!P49)-1),2,"x"))=tipp!$I49,tipp!$J49*pontozas!$B$1)+if(left(tipp!P49,find(":",tipp!P49)-1)-right(tipp!P49,(len(tipp!P49)-find(":",tipp!P49)))=tipp!$G49-tipp!$H49,pontozas!$B$2,0)+if(tipp!P49=tipp!$F49,pontozas!$B$3),""),"")</f>
        <v/>
      </c>
      <c r="H50" s="27">
        <f>if(H$1&lt;&gt;"",iferror(if(if(left(tipp!Q49,find(":",tipp!Q49)-1)&gt;right(tipp!Q49,(len(tipp!Q49)-find(":",tipp!Q49))),1,if(right(tipp!Q49,(len(tipp!Q49)-find(":",tipp!Q49)))&gt;left(tipp!Q49,find(":",tipp!Q49)-1),2,"x"))=tipp!$I49,tipp!$J49*pontozas!$B$1)+if(left(tipp!Q49,find(":",tipp!Q49)-1)-right(tipp!Q49,(len(tipp!Q49)-find(":",tipp!Q49)))=tipp!$G49-tipp!$H49,pontozas!$B$2,0)+if(tipp!Q49=tipp!$F49,pontozas!$B$3),""),"")</f>
        <v>1.28</v>
      </c>
      <c r="I50" s="27" t="str">
        <f>if(I$1&lt;&gt;"",iferror(if(if(left(tipp!R49,find(":",tipp!R49)-1)&gt;right(tipp!R49,(len(tipp!R49)-find(":",tipp!R49))),1,if(right(tipp!R49,(len(tipp!R49)-find(":",tipp!R49)))&gt;left(tipp!R49,find(":",tipp!R49)-1),2,"x"))=tipp!$I49,tipp!$J49*pontozas!$B$1)+if(left(tipp!R49,find(":",tipp!R49)-1)-right(tipp!R49,(len(tipp!R49)-find(":",tipp!R49)))=tipp!$G49-tipp!$H49,pontozas!$B$2,0)+if(tipp!R49=tipp!$F49,pontozas!$B$3),""),"")</f>
        <v/>
      </c>
      <c r="J50" t="str">
        <f>if(J$1&lt;&gt;"",iferror(if(if(left(tipp!S49,find(":",tipp!S49)-1)&gt;right(tipp!S49,(len(tipp!S49)-find(":",tipp!S49))),1,if(right(tipp!S49,(len(tipp!S49)-find(":",tipp!S49)))&gt;left(tipp!S49,find(":",tipp!S49)-1),2,"x"))=tipp!$I49,tipp!$J49*pontozas!$B$1)+if(left(tipp!S49,find(":",tipp!S49)-1)-right(tipp!S49,(len(tipp!S49)-find(":",tipp!S49)))=tipp!$G49-tipp!$H49,pontozas!$B$2,0)+if(tipp!S49=tipp!$F49,pontozas!$B$3),""),"")</f>
        <v/>
      </c>
      <c r="K50" t="str">
        <f>if(K$1&lt;&gt;"",iferror(if(if(left(tipp!T49,find(":",tipp!T49)-1)&gt;right(tipp!T49,(len(tipp!T49)-find(":",tipp!T49))),1,if(right(tipp!T49,(len(tipp!T49)-find(":",tipp!T49)))&gt;left(tipp!T49,find(":",tipp!T49)-1),2,"x"))=tipp!$I49,tipp!$J49*pontozas!$B$1)+if(left(tipp!T49,find(":",tipp!T49)-1)-right(tipp!T49,(len(tipp!T49)-find(":",tipp!T49)))=tipp!$G49-tipp!$H49,pontozas!$B$2,0)+if(tipp!T49=tipp!$F49,pontozas!$B$3),""),"")</f>
        <v/>
      </c>
      <c r="L50" t="str">
        <f>if(L$1&lt;&gt;"",iferror(if(if(left(tipp!U49,find(":",tipp!U49)-1)&gt;right(tipp!U49,(len(tipp!U49)-find(":",tipp!U49))),1,if(right(tipp!U49,(len(tipp!U49)-find(":",tipp!U49)))&gt;left(tipp!U49,find(":",tipp!U49)-1),2,"x"))=tipp!$I49,tipp!$J49*pontozas!$B$1)+if(left(tipp!U49,find(":",tipp!U49)-1)-right(tipp!U49,(len(tipp!U49)-find(":",tipp!U49)))=tipp!$G49-tipp!$H49,pontozas!$B$2,0)+if(tipp!U49=tipp!$F49,pontozas!$B$3),""),"")</f>
        <v/>
      </c>
      <c r="M50" t="str">
        <f>if(M$1&lt;&gt;"",iferror(if(if(left(tipp!V49,find(":",tipp!V49)-1)&gt;right(tipp!V49,(len(tipp!V49)-find(":",tipp!V49))),1,if(right(tipp!V49,(len(tipp!V49)-find(":",tipp!V49)))&gt;left(tipp!V49,find(":",tipp!V49)-1),2,"x"))=tipp!$I49,tipp!$J49*pontozas!$B$1)+if(left(tipp!V49,find(":",tipp!V49)-1)-right(tipp!V49,(len(tipp!V49)-find(":",tipp!V49)))=tipp!$G49-tipp!$H49,pontozas!$B$2,0)+if(tipp!V49=tipp!$F49,pontozas!$B$3),""),"")</f>
        <v/>
      </c>
      <c r="N50" t="str">
        <f>if(N$1&lt;&gt;"",iferror(if(if(left(tipp!W49,find(":",tipp!W49)-1)&gt;right(tipp!W49,(len(tipp!W49)-find(":",tipp!W49))),1,if(right(tipp!W49,(len(tipp!W49)-find(":",tipp!W49)))&gt;left(tipp!W49,find(":",tipp!W49)-1),2,"x"))=tipp!$I49,tipp!$J49*pontozas!$B$1)+if(left(tipp!W49,find(":",tipp!W49)-1)-right(tipp!W49,(len(tipp!W49)-find(":",tipp!W49)))=tipp!$G49-tipp!$H49,pontozas!$B$2,0)+if(tipp!W49=tipp!$F49,pontozas!$B$3),""),"")</f>
        <v/>
      </c>
      <c r="O50" t="str">
        <f>if(O$1&lt;&gt;"",iferror(if(if(left(tipp!X49,find(":",tipp!X49)-1)&gt;right(tipp!X49,(len(tipp!X49)-find(":",tipp!X49))),1,if(right(tipp!X49,(len(tipp!X49)-find(":",tipp!X49)))&gt;left(tipp!X49,find(":",tipp!X49)-1),2,"x"))=tipp!$I49,tipp!$J49*pontozas!$B$1)+if(left(tipp!X49,find(":",tipp!X49)-1)-right(tipp!X49,(len(tipp!X49)-find(":",tipp!X49)))=tipp!$G49-tipp!$H49,pontozas!$B$2,0)+if(tipp!X49=tipp!$F49,pontozas!$B$3),""),"")</f>
        <v/>
      </c>
    </row>
    <row r="51">
      <c r="A51" t="str">
        <f>CONCATENATE(tipp!A50&amp;" : "&amp;tipp!B50)</f>
        <v>Germany : Finland</v>
      </c>
      <c r="B51">
        <f>if(B$1&lt;&gt;"",iferror(if(if(left(tipp!K50,find(":",tipp!K50)-1)&gt;right(tipp!K50,(len(tipp!K50)-find(":",tipp!K50))),1,if(right(tipp!K50,(len(tipp!K50)-find(":",tipp!K50)))&gt;left(tipp!K50,find(":",tipp!K50)-1),2,"x"))=tipp!$I50,tipp!$J50*pontozas!$B$1)+if(left(tipp!K50,find(":",tipp!K50)-1)-right(tipp!K50,(len(tipp!K50)-find(":",tipp!K50)))=tipp!$G50-tipp!$H50,pontozas!$B$2,0)+if(tipp!K50=tipp!$F50,pontozas!$B$3),""),"")</f>
        <v>6.25</v>
      </c>
      <c r="C51">
        <f>if(C$1&lt;&gt;"",iferror(if(if(left(tipp!L50,find(":",tipp!L50)-1)&gt;right(tipp!L50,(len(tipp!L50)-find(":",tipp!L50))),1,if(right(tipp!L50,(len(tipp!L50)-find(":",tipp!L50)))&gt;left(tipp!L50,find(":",tipp!L50)-1),2,"x"))=tipp!$I50,tipp!$J50*pontozas!$B$1)+if(left(tipp!L50,find(":",tipp!L50)-1)-right(tipp!L50,(len(tipp!L50)-find(":",tipp!L50)))=tipp!$G50-tipp!$H50,pontozas!$B$2,0)+if(tipp!L50=tipp!$F50,pontozas!$B$3),""),"")</f>
        <v>0</v>
      </c>
      <c r="D51">
        <f>if(D$1&lt;&gt;"",iferror(if(if(left(tipp!M50,find(":",tipp!M50)-1)&gt;right(tipp!M50,(len(tipp!M50)-find(":",tipp!M50))),1,if(right(tipp!M50,(len(tipp!M50)-find(":",tipp!M50)))&gt;left(tipp!M50,find(":",tipp!M50)-1),2,"x"))=tipp!$I50,tipp!$J50*pontozas!$B$1)+if(left(tipp!M50,find(":",tipp!M50)-1)-right(tipp!M50,(len(tipp!M50)-find(":",tipp!M50)))=tipp!$G50-tipp!$H50,pontozas!$B$2,0)+if(tipp!M50=tipp!$F50,pontozas!$B$3),""),"")</f>
        <v>0</v>
      </c>
      <c r="E51">
        <f>if(E$1&lt;&gt;"",iferror(if(if(left(tipp!N50,find(":",tipp!N50)-1)&gt;right(tipp!N50,(len(tipp!N50)-find(":",tipp!N50))),1,if(right(tipp!N50,(len(tipp!N50)-find(":",tipp!N50)))&gt;left(tipp!N50,find(":",tipp!N50)-1),2,"x"))=tipp!$I50,tipp!$J50*pontozas!$B$1)+if(left(tipp!N50,find(":",tipp!N50)-1)-right(tipp!N50,(len(tipp!N50)-find(":",tipp!N50)))=tipp!$G50-tipp!$H50,pontozas!$B$2,0)+if(tipp!N50=tipp!$F50,pontozas!$B$3),""),"")</f>
        <v>0</v>
      </c>
      <c r="F51">
        <f>if(F$1&lt;&gt;"",iferror(if(if(left(tipp!O50,find(":",tipp!O50)-1)&gt;right(tipp!O50,(len(tipp!O50)-find(":",tipp!O50))),1,if(right(tipp!O50,(len(tipp!O50)-find(":",tipp!O50)))&gt;left(tipp!O50,find(":",tipp!O50)-1),2,"x"))=tipp!$I50,tipp!$J50*pontozas!$B$1)+if(left(tipp!O50,find(":",tipp!O50)-1)-right(tipp!O50,(len(tipp!O50)-find(":",tipp!O50)))=tipp!$G50-tipp!$H50,pontozas!$B$2,0)+if(tipp!O50=tipp!$F50,pontozas!$B$3),""),"")</f>
        <v>7.25</v>
      </c>
      <c r="G51" t="str">
        <f>if(G$1&lt;&gt;"",iferror(if(if(left(tipp!P50,find(":",tipp!P50)-1)&gt;right(tipp!P50,(len(tipp!P50)-find(":",tipp!P50))),1,if(right(tipp!P50,(len(tipp!P50)-find(":",tipp!P50)))&gt;left(tipp!P50,find(":",tipp!P50)-1),2,"x"))=tipp!$I50,tipp!$J50*pontozas!$B$1)+if(left(tipp!P50,find(":",tipp!P50)-1)-right(tipp!P50,(len(tipp!P50)-find(":",tipp!P50)))=tipp!$G50-tipp!$H50,pontozas!$B$2,0)+if(tipp!P50=tipp!$F50,pontozas!$B$3),""),"")</f>
        <v/>
      </c>
      <c r="H51">
        <f>if(H$1&lt;&gt;"",iferror(if(if(left(tipp!Q50,find(":",tipp!Q50)-1)&gt;right(tipp!Q50,(len(tipp!Q50)-find(":",tipp!Q50))),1,if(right(tipp!Q50,(len(tipp!Q50)-find(":",tipp!Q50)))&gt;left(tipp!Q50,find(":",tipp!Q50)-1),2,"x"))=tipp!$I50,tipp!$J50*pontozas!$B$1)+if(left(tipp!Q50,find(":",tipp!Q50)-1)-right(tipp!Q50,(len(tipp!Q50)-find(":",tipp!Q50)))=tipp!$G50-tipp!$H50,pontozas!$B$2,0)+if(tipp!Q50=tipp!$F50,pontozas!$B$3),""),"")</f>
        <v>0</v>
      </c>
      <c r="I51" t="str">
        <f>if(I$1&lt;&gt;"",iferror(if(if(left(tipp!R50,find(":",tipp!R50)-1)&gt;right(tipp!R50,(len(tipp!R50)-find(":",tipp!R50))),1,if(right(tipp!R50,(len(tipp!R50)-find(":",tipp!R50)))&gt;left(tipp!R50,find(":",tipp!R50)-1),2,"x"))=tipp!$I50,tipp!$J50*pontozas!$B$1)+if(left(tipp!R50,find(":",tipp!R50)-1)-right(tipp!R50,(len(tipp!R50)-find(":",tipp!R50)))=tipp!$G50-tipp!$H50,pontozas!$B$2,0)+if(tipp!R50=tipp!$F50,pontozas!$B$3),""),"")</f>
        <v/>
      </c>
      <c r="J51" t="str">
        <f>if(J$1&lt;&gt;"",iferror(if(if(left(tipp!S50,find(":",tipp!S50)-1)&gt;right(tipp!S50,(len(tipp!S50)-find(":",tipp!S50))),1,if(right(tipp!S50,(len(tipp!S50)-find(":",tipp!S50)))&gt;left(tipp!S50,find(":",tipp!S50)-1),2,"x"))=tipp!$I50,tipp!$J50*pontozas!$B$1)+if(left(tipp!S50,find(":",tipp!S50)-1)-right(tipp!S50,(len(tipp!S50)-find(":",tipp!S50)))=tipp!$G50-tipp!$H50,pontozas!$B$2,0)+if(tipp!S50=tipp!$F50,pontozas!$B$3),""),"")</f>
        <v/>
      </c>
      <c r="K51" t="str">
        <f>if(K$1&lt;&gt;"",iferror(if(if(left(tipp!T50,find(":",tipp!T50)-1)&gt;right(tipp!T50,(len(tipp!T50)-find(":",tipp!T50))),1,if(right(tipp!T50,(len(tipp!T50)-find(":",tipp!T50)))&gt;left(tipp!T50,find(":",tipp!T50)-1),2,"x"))=tipp!$I50,tipp!$J50*pontozas!$B$1)+if(left(tipp!T50,find(":",tipp!T50)-1)-right(tipp!T50,(len(tipp!T50)-find(":",tipp!T50)))=tipp!$G50-tipp!$H50,pontozas!$B$2,0)+if(tipp!T50=tipp!$F50,pontozas!$B$3),""),"")</f>
        <v/>
      </c>
      <c r="L51" t="str">
        <f>if(L$1&lt;&gt;"",iferror(if(if(left(tipp!U50,find(":",tipp!U50)-1)&gt;right(tipp!U50,(len(tipp!U50)-find(":",tipp!U50))),1,if(right(tipp!U50,(len(tipp!U50)-find(":",tipp!U50)))&gt;left(tipp!U50,find(":",tipp!U50)-1),2,"x"))=tipp!$I50,tipp!$J50*pontozas!$B$1)+if(left(tipp!U50,find(":",tipp!U50)-1)-right(tipp!U50,(len(tipp!U50)-find(":",tipp!U50)))=tipp!$G50-tipp!$H50,pontozas!$B$2,0)+if(tipp!U50=tipp!$F50,pontozas!$B$3),""),"")</f>
        <v/>
      </c>
      <c r="M51" t="str">
        <f>if(M$1&lt;&gt;"",iferror(if(if(left(tipp!V50,find(":",tipp!V50)-1)&gt;right(tipp!V50,(len(tipp!V50)-find(":",tipp!V50))),1,if(right(tipp!V50,(len(tipp!V50)-find(":",tipp!V50)))&gt;left(tipp!V50,find(":",tipp!V50)-1),2,"x"))=tipp!$I50,tipp!$J50*pontozas!$B$1)+if(left(tipp!V50,find(":",tipp!V50)-1)-right(tipp!V50,(len(tipp!V50)-find(":",tipp!V50)))=tipp!$G50-tipp!$H50,pontozas!$B$2,0)+if(tipp!V50=tipp!$F50,pontozas!$B$3),""),"")</f>
        <v/>
      </c>
      <c r="N51" t="str">
        <f>if(N$1&lt;&gt;"",iferror(if(if(left(tipp!W50,find(":",tipp!W50)-1)&gt;right(tipp!W50,(len(tipp!W50)-find(":",tipp!W50))),1,if(right(tipp!W50,(len(tipp!W50)-find(":",tipp!W50)))&gt;left(tipp!W50,find(":",tipp!W50)-1),2,"x"))=tipp!$I50,tipp!$J50*pontozas!$B$1)+if(left(tipp!W50,find(":",tipp!W50)-1)-right(tipp!W50,(len(tipp!W50)-find(":",tipp!W50)))=tipp!$G50-tipp!$H50,pontozas!$B$2,0)+if(tipp!W50=tipp!$F50,pontozas!$B$3),""),"")</f>
        <v/>
      </c>
      <c r="O51" t="str">
        <f>if(O$1&lt;&gt;"",iferror(if(if(left(tipp!X50,find(":",tipp!X50)-1)&gt;right(tipp!X50,(len(tipp!X50)-find(":",tipp!X50))),1,if(right(tipp!X50,(len(tipp!X50)-find(":",tipp!X50)))&gt;left(tipp!X50,find(":",tipp!X50)-1),2,"x"))=tipp!$I50,tipp!$J50*pontozas!$B$1)+if(left(tipp!X50,find(":",tipp!X50)-1)-right(tipp!X50,(len(tipp!X50)-find(":",tipp!X50)))=tipp!$G50-tipp!$H50,pontozas!$B$2,0)+if(tipp!X50=tipp!$F50,pontozas!$B$3),""),"")</f>
        <v/>
      </c>
    </row>
    <row r="52">
      <c r="A52" t="str">
        <f>CONCATENATE(tipp!A51&amp;" : "&amp;tipp!B51)</f>
        <v>Russia : Slovakia</v>
      </c>
      <c r="B52">
        <f>if(B$1&lt;&gt;"",iferror(if(if(left(tipp!K51,find(":",tipp!K51)-1)&gt;right(tipp!K51,(len(tipp!K51)-find(":",tipp!K51))),1,if(right(tipp!K51,(len(tipp!K51)-find(":",tipp!K51)))&gt;left(tipp!K51,find(":",tipp!K51)-1),2,"x"))=tipp!$I51,tipp!$J51*pontozas!$B$1)+if(left(tipp!K51,find(":",tipp!K51)-1)-right(tipp!K51,(len(tipp!K51)-find(":",tipp!K51)))=tipp!$G51-tipp!$H51,pontozas!$B$2,0)+if(tipp!K51=tipp!$F51,pontozas!$B$3),""),"")</f>
        <v>0</v>
      </c>
      <c r="C52">
        <f>if(C$1&lt;&gt;"",iferror(if(if(left(tipp!L51,find(":",tipp!L51)-1)&gt;right(tipp!L51,(len(tipp!L51)-find(":",tipp!L51))),1,if(right(tipp!L51,(len(tipp!L51)-find(":",tipp!L51)))&gt;left(tipp!L51,find(":",tipp!L51)-1),2,"x"))=tipp!$I51,tipp!$J51*pontozas!$B$1)+if(left(tipp!L51,find(":",tipp!L51)-1)-right(tipp!L51,(len(tipp!L51)-find(":",tipp!L51)))=tipp!$G51-tipp!$H51,pontozas!$B$2,0)+if(tipp!L51=tipp!$F51,pontozas!$B$3),""),"")</f>
        <v>0</v>
      </c>
      <c r="D52">
        <f>if(D$1&lt;&gt;"",iferror(if(if(left(tipp!M51,find(":",tipp!M51)-1)&gt;right(tipp!M51,(len(tipp!M51)-find(":",tipp!M51))),1,if(right(tipp!M51,(len(tipp!M51)-find(":",tipp!M51)))&gt;left(tipp!M51,find(":",tipp!M51)-1),2,"x"))=tipp!$I51,tipp!$J51*pontozas!$B$1)+if(left(tipp!M51,find(":",tipp!M51)-1)-right(tipp!M51,(len(tipp!M51)-find(":",tipp!M51)))=tipp!$G51-tipp!$H51,pontozas!$B$2,0)+if(tipp!M51=tipp!$F51,pontozas!$B$3),""),"")</f>
        <v>1.25</v>
      </c>
      <c r="E52">
        <f>if(E$1&lt;&gt;"",iferror(if(if(left(tipp!N51,find(":",tipp!N51)-1)&gt;right(tipp!N51,(len(tipp!N51)-find(":",tipp!N51))),1,if(right(tipp!N51,(len(tipp!N51)-find(":",tipp!N51)))&gt;left(tipp!N51,find(":",tipp!N51)-1),2,"x"))=tipp!$I51,tipp!$J51*pontozas!$B$1)+if(left(tipp!N51,find(":",tipp!N51)-1)-right(tipp!N51,(len(tipp!N51)-find(":",tipp!N51)))=tipp!$G51-tipp!$H51,pontozas!$B$2,0)+if(tipp!N51=tipp!$F51,pontozas!$B$3),""),"")</f>
        <v>0</v>
      </c>
      <c r="F52">
        <f>if(F$1&lt;&gt;"",iferror(if(if(left(tipp!O51,find(":",tipp!O51)-1)&gt;right(tipp!O51,(len(tipp!O51)-find(":",tipp!O51))),1,if(right(tipp!O51,(len(tipp!O51)-find(":",tipp!O51)))&gt;left(tipp!O51,find(":",tipp!O51)-1),2,"x"))=tipp!$I51,tipp!$J51*pontozas!$B$1)+if(left(tipp!O51,find(":",tipp!O51)-1)-right(tipp!O51,(len(tipp!O51)-find(":",tipp!O51)))=tipp!$G51-tipp!$H51,pontozas!$B$2,0)+if(tipp!O51=tipp!$F51,pontozas!$B$3),""),"")</f>
        <v>2.25</v>
      </c>
      <c r="G52" t="str">
        <f>if(G$1&lt;&gt;"",iferror(if(if(left(tipp!P51,find(":",tipp!P51)-1)&gt;right(tipp!P51,(len(tipp!P51)-find(":",tipp!P51))),1,if(right(tipp!P51,(len(tipp!P51)-find(":",tipp!P51)))&gt;left(tipp!P51,find(":",tipp!P51)-1),2,"x"))=tipp!$I51,tipp!$J51*pontozas!$B$1)+if(left(tipp!P51,find(":",tipp!P51)-1)-right(tipp!P51,(len(tipp!P51)-find(":",tipp!P51)))=tipp!$G51-tipp!$H51,pontozas!$B$2,0)+if(tipp!P51=tipp!$F51,pontozas!$B$3),""),"")</f>
        <v/>
      </c>
      <c r="H52">
        <f>if(H$1&lt;&gt;"",iferror(if(if(left(tipp!Q51,find(":",tipp!Q51)-1)&gt;right(tipp!Q51,(len(tipp!Q51)-find(":",tipp!Q51))),1,if(right(tipp!Q51,(len(tipp!Q51)-find(":",tipp!Q51)))&gt;left(tipp!Q51,find(":",tipp!Q51)-1),2,"x"))=tipp!$I51,tipp!$J51*pontozas!$B$1)+if(left(tipp!Q51,find(":",tipp!Q51)-1)-right(tipp!Q51,(len(tipp!Q51)-find(":",tipp!Q51)))=tipp!$G51-tipp!$H51,pontozas!$B$2,0)+if(tipp!Q51=tipp!$F51,pontozas!$B$3),""),"")</f>
        <v>0</v>
      </c>
      <c r="I52" t="str">
        <f>if(I$1&lt;&gt;"",iferror(if(if(left(tipp!R51,find(":",tipp!R51)-1)&gt;right(tipp!R51,(len(tipp!R51)-find(":",tipp!R51))),1,if(right(tipp!R51,(len(tipp!R51)-find(":",tipp!R51)))&gt;left(tipp!R51,find(":",tipp!R51)-1),2,"x"))=tipp!$I51,tipp!$J51*pontozas!$B$1)+if(left(tipp!R51,find(":",tipp!R51)-1)-right(tipp!R51,(len(tipp!R51)-find(":",tipp!R51)))=tipp!$G51-tipp!$H51,pontozas!$B$2,0)+if(tipp!R51=tipp!$F51,pontozas!$B$3),""),"")</f>
        <v/>
      </c>
      <c r="J52" t="str">
        <f>if(J$1&lt;&gt;"",iferror(if(if(left(tipp!S51,find(":",tipp!S51)-1)&gt;right(tipp!S51,(len(tipp!S51)-find(":",tipp!S51))),1,if(right(tipp!S51,(len(tipp!S51)-find(":",tipp!S51)))&gt;left(tipp!S51,find(":",tipp!S51)-1),2,"x"))=tipp!$I51,tipp!$J51*pontozas!$B$1)+if(left(tipp!S51,find(":",tipp!S51)-1)-right(tipp!S51,(len(tipp!S51)-find(":",tipp!S51)))=tipp!$G51-tipp!$H51,pontozas!$B$2,0)+if(tipp!S51=tipp!$F51,pontozas!$B$3),""),"")</f>
        <v/>
      </c>
      <c r="K52" t="str">
        <f>if(K$1&lt;&gt;"",iferror(if(if(left(tipp!T51,find(":",tipp!T51)-1)&gt;right(tipp!T51,(len(tipp!T51)-find(":",tipp!T51))),1,if(right(tipp!T51,(len(tipp!T51)-find(":",tipp!T51)))&gt;left(tipp!T51,find(":",tipp!T51)-1),2,"x"))=tipp!$I51,tipp!$J51*pontozas!$B$1)+if(left(tipp!T51,find(":",tipp!T51)-1)-right(tipp!T51,(len(tipp!T51)-find(":",tipp!T51)))=tipp!$G51-tipp!$H51,pontozas!$B$2,0)+if(tipp!T51=tipp!$F51,pontozas!$B$3),""),"")</f>
        <v/>
      </c>
      <c r="L52" t="str">
        <f>if(L$1&lt;&gt;"",iferror(if(if(left(tipp!U51,find(":",tipp!U51)-1)&gt;right(tipp!U51,(len(tipp!U51)-find(":",tipp!U51))),1,if(right(tipp!U51,(len(tipp!U51)-find(":",tipp!U51)))&gt;left(tipp!U51,find(":",tipp!U51)-1),2,"x"))=tipp!$I51,tipp!$J51*pontozas!$B$1)+if(left(tipp!U51,find(":",tipp!U51)-1)-right(tipp!U51,(len(tipp!U51)-find(":",tipp!U51)))=tipp!$G51-tipp!$H51,pontozas!$B$2,0)+if(tipp!U51=tipp!$F51,pontozas!$B$3),""),"")</f>
        <v/>
      </c>
      <c r="M52" t="str">
        <f>if(M$1&lt;&gt;"",iferror(if(if(left(tipp!V51,find(":",tipp!V51)-1)&gt;right(tipp!V51,(len(tipp!V51)-find(":",tipp!V51))),1,if(right(tipp!V51,(len(tipp!V51)-find(":",tipp!V51)))&gt;left(tipp!V51,find(":",tipp!V51)-1),2,"x"))=tipp!$I51,tipp!$J51*pontozas!$B$1)+if(left(tipp!V51,find(":",tipp!V51)-1)-right(tipp!V51,(len(tipp!V51)-find(":",tipp!V51)))=tipp!$G51-tipp!$H51,pontozas!$B$2,0)+if(tipp!V51=tipp!$F51,pontozas!$B$3),""),"")</f>
        <v/>
      </c>
      <c r="N52" t="str">
        <f>if(N$1&lt;&gt;"",iferror(if(if(left(tipp!W51,find(":",tipp!W51)-1)&gt;right(tipp!W51,(len(tipp!W51)-find(":",tipp!W51))),1,if(right(tipp!W51,(len(tipp!W51)-find(":",tipp!W51)))&gt;left(tipp!W51,find(":",tipp!W51)-1),2,"x"))=tipp!$I51,tipp!$J51*pontozas!$B$1)+if(left(tipp!W51,find(":",tipp!W51)-1)-right(tipp!W51,(len(tipp!W51)-find(":",tipp!W51)))=tipp!$G51-tipp!$H51,pontozas!$B$2,0)+if(tipp!W51=tipp!$F51,pontozas!$B$3),""),"")</f>
        <v/>
      </c>
      <c r="O52" t="str">
        <f>if(O$1&lt;&gt;"",iferror(if(if(left(tipp!X51,find(":",tipp!X51)-1)&gt;right(tipp!X51,(len(tipp!X51)-find(":",tipp!X51))),1,if(right(tipp!X51,(len(tipp!X51)-find(":",tipp!X51)))&gt;left(tipp!X51,find(":",tipp!X51)-1),2,"x"))=tipp!$I51,tipp!$J51*pontozas!$B$1)+if(left(tipp!X51,find(":",tipp!X51)-1)-right(tipp!X51,(len(tipp!X51)-find(":",tipp!X51)))=tipp!$G51-tipp!$H51,pontozas!$B$2,0)+if(tipp!X51=tipp!$F51,pontozas!$B$3),""),"")</f>
        <v/>
      </c>
    </row>
    <row r="53">
      <c r="A53" t="str">
        <f>CONCATENATE(tipp!A52&amp;" : "&amp;tipp!B52)</f>
        <v>Czech Republic : Austria</v>
      </c>
      <c r="B53">
        <f>if(B$1&lt;&gt;"",iferror(if(if(left(tipp!K52,find(":",tipp!K52)-1)&gt;right(tipp!K52,(len(tipp!K52)-find(":",tipp!K52))),1,if(right(tipp!K52,(len(tipp!K52)-find(":",tipp!K52)))&gt;left(tipp!K52,find(":",tipp!K52)-1),2,"x"))=tipp!$I52,tipp!$J52*pontozas!$B$1)+if(left(tipp!K52,find(":",tipp!K52)-1)-right(tipp!K52,(len(tipp!K52)-find(":",tipp!K52)))=tipp!$G52-tipp!$H52,pontozas!$B$2,0)+if(tipp!K52=tipp!$F52,pontozas!$B$3),""),"")</f>
        <v>0</v>
      </c>
      <c r="C53">
        <f>if(C$1&lt;&gt;"",iferror(if(if(left(tipp!L52,find(":",tipp!L52)-1)&gt;right(tipp!L52,(len(tipp!L52)-find(":",tipp!L52))),1,if(right(tipp!L52,(len(tipp!L52)-find(":",tipp!L52)))&gt;left(tipp!L52,find(":",tipp!L52)-1),2,"x"))=tipp!$I52,tipp!$J52*pontozas!$B$1)+if(left(tipp!L52,find(":",tipp!L52)-1)-right(tipp!L52,(len(tipp!L52)-find(":",tipp!L52)))=tipp!$G52-tipp!$H52,pontozas!$B$2,0)+if(tipp!L52=tipp!$F52,pontozas!$B$3),""),"")</f>
        <v>1.13</v>
      </c>
      <c r="D53">
        <f>if(D$1&lt;&gt;"",iferror(if(if(left(tipp!M52,find(":",tipp!M52)-1)&gt;right(tipp!M52,(len(tipp!M52)-find(":",tipp!M52))),1,if(right(tipp!M52,(len(tipp!M52)-find(":",tipp!M52)))&gt;left(tipp!M52,find(":",tipp!M52)-1),2,"x"))=tipp!$I52,tipp!$J52*pontozas!$B$1)+if(left(tipp!M52,find(":",tipp!M52)-1)-right(tipp!M52,(len(tipp!M52)-find(":",tipp!M52)))=tipp!$G52-tipp!$H52,pontozas!$B$2,0)+if(tipp!M52=tipp!$F52,pontozas!$B$3),""),"")</f>
        <v>0</v>
      </c>
      <c r="E53">
        <f>if(E$1&lt;&gt;"",iferror(if(if(left(tipp!N52,find(":",tipp!N52)-1)&gt;right(tipp!N52,(len(tipp!N52)-find(":",tipp!N52))),1,if(right(tipp!N52,(len(tipp!N52)-find(":",tipp!N52)))&gt;left(tipp!N52,find(":",tipp!N52)-1),2,"x"))=tipp!$I52,tipp!$J52*pontozas!$B$1)+if(left(tipp!N52,find(":",tipp!N52)-1)-right(tipp!N52,(len(tipp!N52)-find(":",tipp!N52)))=tipp!$G52-tipp!$H52,pontozas!$B$2,0)+if(tipp!N52=tipp!$F52,pontozas!$B$3),""),"")</f>
        <v>2.13</v>
      </c>
      <c r="F53">
        <f>if(F$1&lt;&gt;"",iferror(if(if(left(tipp!O52,find(":",tipp!O52)-1)&gt;right(tipp!O52,(len(tipp!O52)-find(":",tipp!O52))),1,if(right(tipp!O52,(len(tipp!O52)-find(":",tipp!O52)))&gt;left(tipp!O52,find(":",tipp!O52)-1),2,"x"))=tipp!$I52,tipp!$J52*pontozas!$B$1)+if(left(tipp!O52,find(":",tipp!O52)-1)-right(tipp!O52,(len(tipp!O52)-find(":",tipp!O52)))=tipp!$G52-tipp!$H52,pontozas!$B$2,0)+if(tipp!O52=tipp!$F52,pontozas!$B$3),""),"")</f>
        <v>1.13</v>
      </c>
      <c r="G53" t="str">
        <f>if(G$1&lt;&gt;"",iferror(if(if(left(tipp!P52,find(":",tipp!P52)-1)&gt;right(tipp!P52,(len(tipp!P52)-find(":",tipp!P52))),1,if(right(tipp!P52,(len(tipp!P52)-find(":",tipp!P52)))&gt;left(tipp!P52,find(":",tipp!P52)-1),2,"x"))=tipp!$I52,tipp!$J52*pontozas!$B$1)+if(left(tipp!P52,find(":",tipp!P52)-1)-right(tipp!P52,(len(tipp!P52)-find(":",tipp!P52)))=tipp!$G52-tipp!$H52,pontozas!$B$2,0)+if(tipp!P52=tipp!$F52,pontozas!$B$3),""),"")</f>
        <v/>
      </c>
      <c r="H53">
        <f>if(H$1&lt;&gt;"",iferror(if(if(left(tipp!Q52,find(":",tipp!Q52)-1)&gt;right(tipp!Q52,(len(tipp!Q52)-find(":",tipp!Q52))),1,if(right(tipp!Q52,(len(tipp!Q52)-find(":",tipp!Q52)))&gt;left(tipp!Q52,find(":",tipp!Q52)-1),2,"x"))=tipp!$I52,tipp!$J52*pontozas!$B$1)+if(left(tipp!Q52,find(":",tipp!Q52)-1)-right(tipp!Q52,(len(tipp!Q52)-find(":",tipp!Q52)))=tipp!$G52-tipp!$H52,pontozas!$B$2,0)+if(tipp!Q52=tipp!$F52,pontozas!$B$3),""),"")</f>
        <v>1.13</v>
      </c>
      <c r="I53" t="str">
        <f>if(I$1&lt;&gt;"",iferror(if(if(left(tipp!R52,find(":",tipp!R52)-1)&gt;right(tipp!R52,(len(tipp!R52)-find(":",tipp!R52))),1,if(right(tipp!R52,(len(tipp!R52)-find(":",tipp!R52)))&gt;left(tipp!R52,find(":",tipp!R52)-1),2,"x"))=tipp!$I52,tipp!$J52*pontozas!$B$1)+if(left(tipp!R52,find(":",tipp!R52)-1)-right(tipp!R52,(len(tipp!R52)-find(":",tipp!R52)))=tipp!$G52-tipp!$H52,pontozas!$B$2,0)+if(tipp!R52=tipp!$F52,pontozas!$B$3),""),"")</f>
        <v/>
      </c>
      <c r="J53" t="str">
        <f>if(J$1&lt;&gt;"",iferror(if(if(left(tipp!S52,find(":",tipp!S52)-1)&gt;right(tipp!S52,(len(tipp!S52)-find(":",tipp!S52))),1,if(right(tipp!S52,(len(tipp!S52)-find(":",tipp!S52)))&gt;left(tipp!S52,find(":",tipp!S52)-1),2,"x"))=tipp!$I52,tipp!$J52*pontozas!$B$1)+if(left(tipp!S52,find(":",tipp!S52)-1)-right(tipp!S52,(len(tipp!S52)-find(":",tipp!S52)))=tipp!$G52-tipp!$H52,pontozas!$B$2,0)+if(tipp!S52=tipp!$F52,pontozas!$B$3),""),"")</f>
        <v/>
      </c>
      <c r="K53" t="str">
        <f>if(K$1&lt;&gt;"",iferror(if(if(left(tipp!T52,find(":",tipp!T52)-1)&gt;right(tipp!T52,(len(tipp!T52)-find(":",tipp!T52))),1,if(right(tipp!T52,(len(tipp!T52)-find(":",tipp!T52)))&gt;left(tipp!T52,find(":",tipp!T52)-1),2,"x"))=tipp!$I52,tipp!$J52*pontozas!$B$1)+if(left(tipp!T52,find(":",tipp!T52)-1)-right(tipp!T52,(len(tipp!T52)-find(":",tipp!T52)))=tipp!$G52-tipp!$H52,pontozas!$B$2,0)+if(tipp!T52=tipp!$F52,pontozas!$B$3),""),"")</f>
        <v/>
      </c>
      <c r="L53" t="str">
        <f>if(L$1&lt;&gt;"",iferror(if(if(left(tipp!U52,find(":",tipp!U52)-1)&gt;right(tipp!U52,(len(tipp!U52)-find(":",tipp!U52))),1,if(right(tipp!U52,(len(tipp!U52)-find(":",tipp!U52)))&gt;left(tipp!U52,find(":",tipp!U52)-1),2,"x"))=tipp!$I52,tipp!$J52*pontozas!$B$1)+if(left(tipp!U52,find(":",tipp!U52)-1)-right(tipp!U52,(len(tipp!U52)-find(":",tipp!U52)))=tipp!$G52-tipp!$H52,pontozas!$B$2,0)+if(tipp!U52=tipp!$F52,pontozas!$B$3),""),"")</f>
        <v/>
      </c>
      <c r="M53" t="str">
        <f>if(M$1&lt;&gt;"",iferror(if(if(left(tipp!V52,find(":",tipp!V52)-1)&gt;right(tipp!V52,(len(tipp!V52)-find(":",tipp!V52))),1,if(right(tipp!V52,(len(tipp!V52)-find(":",tipp!V52)))&gt;left(tipp!V52,find(":",tipp!V52)-1),2,"x"))=tipp!$I52,tipp!$J52*pontozas!$B$1)+if(left(tipp!V52,find(":",tipp!V52)-1)-right(tipp!V52,(len(tipp!V52)-find(":",tipp!V52)))=tipp!$G52-tipp!$H52,pontozas!$B$2,0)+if(tipp!V52=tipp!$F52,pontozas!$B$3),""),"")</f>
        <v/>
      </c>
      <c r="N53" t="str">
        <f>if(N$1&lt;&gt;"",iferror(if(if(left(tipp!W52,find(":",tipp!W52)-1)&gt;right(tipp!W52,(len(tipp!W52)-find(":",tipp!W52))),1,if(right(tipp!W52,(len(tipp!W52)-find(":",tipp!W52)))&gt;left(tipp!W52,find(":",tipp!W52)-1),2,"x"))=tipp!$I52,tipp!$J52*pontozas!$B$1)+if(left(tipp!W52,find(":",tipp!W52)-1)-right(tipp!W52,(len(tipp!W52)-find(":",tipp!W52)))=tipp!$G52-tipp!$H52,pontozas!$B$2,0)+if(tipp!W52=tipp!$F52,pontozas!$B$3),""),"")</f>
        <v/>
      </c>
      <c r="O53" t="str">
        <f>if(O$1&lt;&gt;"",iferror(if(if(left(tipp!X52,find(":",tipp!X52)-1)&gt;right(tipp!X52,(len(tipp!X52)-find(":",tipp!X52))),1,if(right(tipp!X52,(len(tipp!X52)-find(":",tipp!X52)))&gt;left(tipp!X52,find(":",tipp!X52)-1),2,"x"))=tipp!$I52,tipp!$J52*pontozas!$B$1)+if(left(tipp!X52,find(":",tipp!X52)-1)-right(tipp!X52,(len(tipp!X52)-find(":",tipp!X52)))=tipp!$G52-tipp!$H52,pontozas!$B$2,0)+if(tipp!X52=tipp!$F52,pontozas!$B$3),""),"")</f>
        <v/>
      </c>
    </row>
    <row r="54">
      <c r="A54" t="str">
        <f>CONCATENATE(tipp!A53&amp;" : "&amp;tipp!B53)</f>
        <v>South Korea : Norway</v>
      </c>
      <c r="B54">
        <f>if(B$1&lt;&gt;"",iferror(if(if(left(tipp!K53,find(":",tipp!K53)-1)&gt;right(tipp!K53,(len(tipp!K53)-find(":",tipp!K53))),1,if(right(tipp!K53,(len(tipp!K53)-find(":",tipp!K53)))&gt;left(tipp!K53,find(":",tipp!K53)-1),2,"x"))=tipp!$I53,tipp!$J53*pontozas!$B$1)+if(left(tipp!K53,find(":",tipp!K53)-1)-right(tipp!K53,(len(tipp!K53)-find(":",tipp!K53)))=tipp!$G53-tipp!$H53,pontozas!$B$2,0)+if(tipp!K53=tipp!$F53,pontozas!$B$3),""),"")</f>
        <v>0</v>
      </c>
      <c r="C54">
        <f>if(C$1&lt;&gt;"",iferror(if(if(left(tipp!L53,find(":",tipp!L53)-1)&gt;right(tipp!L53,(len(tipp!L53)-find(":",tipp!L53))),1,if(right(tipp!L53,(len(tipp!L53)-find(":",tipp!L53)))&gt;left(tipp!L53,find(":",tipp!L53)-1),2,"x"))=tipp!$I53,tipp!$J53*pontozas!$B$1)+if(left(tipp!L53,find(":",tipp!L53)-1)-right(tipp!L53,(len(tipp!L53)-find(":",tipp!L53)))=tipp!$G53-tipp!$H53,pontozas!$B$2,0)+if(tipp!L53=tipp!$F53,pontozas!$B$3),""),"")</f>
        <v>2.3</v>
      </c>
      <c r="D54">
        <f>if(D$1&lt;&gt;"",iferror(if(if(left(tipp!M53,find(":",tipp!M53)-1)&gt;right(tipp!M53,(len(tipp!M53)-find(":",tipp!M53))),1,if(right(tipp!M53,(len(tipp!M53)-find(":",tipp!M53)))&gt;left(tipp!M53,find(":",tipp!M53)-1),2,"x"))=tipp!$I53,tipp!$J53*pontozas!$B$1)+if(left(tipp!M53,find(":",tipp!M53)-1)-right(tipp!M53,(len(tipp!M53)-find(":",tipp!M53)))=tipp!$G53-tipp!$H53,pontozas!$B$2,0)+if(tipp!M53=tipp!$F53,pontozas!$B$3),""),"")</f>
        <v>1.3</v>
      </c>
      <c r="E54">
        <f>if(E$1&lt;&gt;"",iferror(if(if(left(tipp!N53,find(":",tipp!N53)-1)&gt;right(tipp!N53,(len(tipp!N53)-find(":",tipp!N53))),1,if(right(tipp!N53,(len(tipp!N53)-find(":",tipp!N53)))&gt;left(tipp!N53,find(":",tipp!N53)-1),2,"x"))=tipp!$I53,tipp!$J53*pontozas!$B$1)+if(left(tipp!N53,find(":",tipp!N53)-1)-right(tipp!N53,(len(tipp!N53)-find(":",tipp!N53)))=tipp!$G53-tipp!$H53,pontozas!$B$2,0)+if(tipp!N53=tipp!$F53,pontozas!$B$3),""),"")</f>
        <v>1.3</v>
      </c>
      <c r="F54">
        <f>if(F$1&lt;&gt;"",iferror(if(if(left(tipp!O53,find(":",tipp!O53)-1)&gt;right(tipp!O53,(len(tipp!O53)-find(":",tipp!O53))),1,if(right(tipp!O53,(len(tipp!O53)-find(":",tipp!O53)))&gt;left(tipp!O53,find(":",tipp!O53)-1),2,"x"))=tipp!$I53,tipp!$J53*pontozas!$B$1)+if(left(tipp!O53,find(":",tipp!O53)-1)-right(tipp!O53,(len(tipp!O53)-find(":",tipp!O53)))=tipp!$G53-tipp!$H53,pontozas!$B$2,0)+if(tipp!O53=tipp!$F53,pontozas!$B$3),""),"")</f>
        <v>3.3</v>
      </c>
      <c r="G54" t="str">
        <f>if(G$1&lt;&gt;"",iferror(if(if(left(tipp!P53,find(":",tipp!P53)-1)&gt;right(tipp!P53,(len(tipp!P53)-find(":",tipp!P53))),1,if(right(tipp!P53,(len(tipp!P53)-find(":",tipp!P53)))&gt;left(tipp!P53,find(":",tipp!P53)-1),2,"x"))=tipp!$I53,tipp!$J53*pontozas!$B$1)+if(left(tipp!P53,find(":",tipp!P53)-1)-right(tipp!P53,(len(tipp!P53)-find(":",tipp!P53)))=tipp!$G53-tipp!$H53,pontozas!$B$2,0)+if(tipp!P53=tipp!$F53,pontozas!$B$3),""),"")</f>
        <v/>
      </c>
      <c r="H54">
        <f>if(H$1&lt;&gt;"",iferror(if(if(left(tipp!Q53,find(":",tipp!Q53)-1)&gt;right(tipp!Q53,(len(tipp!Q53)-find(":",tipp!Q53))),1,if(right(tipp!Q53,(len(tipp!Q53)-find(":",tipp!Q53)))&gt;left(tipp!Q53,find(":",tipp!Q53)-1),2,"x"))=tipp!$I53,tipp!$J53*pontozas!$B$1)+if(left(tipp!Q53,find(":",tipp!Q53)-1)-right(tipp!Q53,(len(tipp!Q53)-find(":",tipp!Q53)))=tipp!$G53-tipp!$H53,pontozas!$B$2,0)+if(tipp!Q53=tipp!$F53,pontozas!$B$3),""),"")</f>
        <v>1.3</v>
      </c>
      <c r="I54" t="str">
        <f>if(I$1&lt;&gt;"",iferror(if(if(left(tipp!R53,find(":",tipp!R53)-1)&gt;right(tipp!R53,(len(tipp!R53)-find(":",tipp!R53))),1,if(right(tipp!R53,(len(tipp!R53)-find(":",tipp!R53)))&gt;left(tipp!R53,find(":",tipp!R53)-1),2,"x"))=tipp!$I53,tipp!$J53*pontozas!$B$1)+if(left(tipp!R53,find(":",tipp!R53)-1)-right(tipp!R53,(len(tipp!R53)-find(":",tipp!R53)))=tipp!$G53-tipp!$H53,pontozas!$B$2,0)+if(tipp!R53=tipp!$F53,pontozas!$B$3),""),"")</f>
        <v/>
      </c>
      <c r="J54" t="str">
        <f>if(J$1&lt;&gt;"",iferror(if(if(left(tipp!S53,find(":",tipp!S53)-1)&gt;right(tipp!S53,(len(tipp!S53)-find(":",tipp!S53))),1,if(right(tipp!S53,(len(tipp!S53)-find(":",tipp!S53)))&gt;left(tipp!S53,find(":",tipp!S53)-1),2,"x"))=tipp!$I53,tipp!$J53*pontozas!$B$1)+if(left(tipp!S53,find(":",tipp!S53)-1)-right(tipp!S53,(len(tipp!S53)-find(":",tipp!S53)))=tipp!$G53-tipp!$H53,pontozas!$B$2,0)+if(tipp!S53=tipp!$F53,pontozas!$B$3),""),"")</f>
        <v/>
      </c>
      <c r="K54" t="str">
        <f>if(K$1&lt;&gt;"",iferror(if(if(left(tipp!T53,find(":",tipp!T53)-1)&gt;right(tipp!T53,(len(tipp!T53)-find(":",tipp!T53))),1,if(right(tipp!T53,(len(tipp!T53)-find(":",tipp!T53)))&gt;left(tipp!T53,find(":",tipp!T53)-1),2,"x"))=tipp!$I53,tipp!$J53*pontozas!$B$1)+if(left(tipp!T53,find(":",tipp!T53)-1)-right(tipp!T53,(len(tipp!T53)-find(":",tipp!T53)))=tipp!$G53-tipp!$H53,pontozas!$B$2,0)+if(tipp!T53=tipp!$F53,pontozas!$B$3),""),"")</f>
        <v/>
      </c>
      <c r="L54" t="str">
        <f>if(L$1&lt;&gt;"",iferror(if(if(left(tipp!U53,find(":",tipp!U53)-1)&gt;right(tipp!U53,(len(tipp!U53)-find(":",tipp!U53))),1,if(right(tipp!U53,(len(tipp!U53)-find(":",tipp!U53)))&gt;left(tipp!U53,find(":",tipp!U53)-1),2,"x"))=tipp!$I53,tipp!$J53*pontozas!$B$1)+if(left(tipp!U53,find(":",tipp!U53)-1)-right(tipp!U53,(len(tipp!U53)-find(":",tipp!U53)))=tipp!$G53-tipp!$H53,pontozas!$B$2,0)+if(tipp!U53=tipp!$F53,pontozas!$B$3),""),"")</f>
        <v/>
      </c>
      <c r="M54" t="str">
        <f>if(M$1&lt;&gt;"",iferror(if(if(left(tipp!V53,find(":",tipp!V53)-1)&gt;right(tipp!V53,(len(tipp!V53)-find(":",tipp!V53))),1,if(right(tipp!V53,(len(tipp!V53)-find(":",tipp!V53)))&gt;left(tipp!V53,find(":",tipp!V53)-1),2,"x"))=tipp!$I53,tipp!$J53*pontozas!$B$1)+if(left(tipp!V53,find(":",tipp!V53)-1)-right(tipp!V53,(len(tipp!V53)-find(":",tipp!V53)))=tipp!$G53-tipp!$H53,pontozas!$B$2,0)+if(tipp!V53=tipp!$F53,pontozas!$B$3),""),"")</f>
        <v/>
      </c>
      <c r="N54" t="str">
        <f>if(N$1&lt;&gt;"",iferror(if(if(left(tipp!W53,find(":",tipp!W53)-1)&gt;right(tipp!W53,(len(tipp!W53)-find(":",tipp!W53))),1,if(right(tipp!W53,(len(tipp!W53)-find(":",tipp!W53)))&gt;left(tipp!W53,find(":",tipp!W53)-1),2,"x"))=tipp!$I53,tipp!$J53*pontozas!$B$1)+if(left(tipp!W53,find(":",tipp!W53)-1)-right(tipp!W53,(len(tipp!W53)-find(":",tipp!W53)))=tipp!$G53-tipp!$H53,pontozas!$B$2,0)+if(tipp!W53=tipp!$F53,pontozas!$B$3),""),"")</f>
        <v/>
      </c>
      <c r="O54" t="str">
        <f>if(O$1&lt;&gt;"",iferror(if(if(left(tipp!X53,find(":",tipp!X53)-1)&gt;right(tipp!X53,(len(tipp!X53)-find(":",tipp!X53))),1,if(right(tipp!X53,(len(tipp!X53)-find(":",tipp!X53)))&gt;left(tipp!X53,find(":",tipp!X53)-1),2,"x"))=tipp!$I53,tipp!$J53*pontozas!$B$1)+if(left(tipp!X53,find(":",tipp!X53)-1)-right(tipp!X53,(len(tipp!X53)-find(":",tipp!X53)))=tipp!$G53-tipp!$H53,pontozas!$B$2,0)+if(tipp!X53=tipp!$F53,pontozas!$B$3),""),"")</f>
        <v/>
      </c>
    </row>
    <row r="55">
      <c r="A55" t="str">
        <f>CONCATENATE(tipp!A54&amp;" : "&amp;tipp!B54)</f>
        <v>Canada : Latvia</v>
      </c>
      <c r="B55">
        <f>if(B$1&lt;&gt;"",iferror(if(if(left(tipp!K54,find(":",tipp!K54)-1)&gt;right(tipp!K54,(len(tipp!K54)-find(":",tipp!K54))),1,if(right(tipp!K54,(len(tipp!K54)-find(":",tipp!K54)))&gt;left(tipp!K54,find(":",tipp!K54)-1),2,"x"))=tipp!$I54,tipp!$J54*pontozas!$B$1)+if(left(tipp!K54,find(":",tipp!K54)-1)-right(tipp!K54,(len(tipp!K54)-find(":",tipp!K54)))=tipp!$G54-tipp!$H54,pontozas!$B$2,0)+if(tipp!K54=tipp!$F54,pontozas!$B$3),""),"")</f>
        <v>11</v>
      </c>
      <c r="C55">
        <f>if(C$1&lt;&gt;"",iferror(if(if(left(tipp!L54,find(":",tipp!L54)-1)&gt;right(tipp!L54,(len(tipp!L54)-find(":",tipp!L54))),1,if(right(tipp!L54,(len(tipp!L54)-find(":",tipp!L54)))&gt;left(tipp!L54,find(":",tipp!L54)-1),2,"x"))=tipp!$I54,tipp!$J54*pontozas!$B$1)+if(left(tipp!L54,find(":",tipp!L54)-1)-right(tipp!L54,(len(tipp!L54)-find(":",tipp!L54)))=tipp!$G54-tipp!$H54,pontozas!$B$2,0)+if(tipp!L54=tipp!$F54,pontozas!$B$3),""),"")</f>
        <v>0</v>
      </c>
      <c r="D55">
        <f>if(D$1&lt;&gt;"",iferror(if(if(left(tipp!M54,find(":",tipp!M54)-1)&gt;right(tipp!M54,(len(tipp!M54)-find(":",tipp!M54))),1,if(right(tipp!M54,(len(tipp!M54)-find(":",tipp!M54)))&gt;left(tipp!M54,find(":",tipp!M54)-1),2,"x"))=tipp!$I54,tipp!$J54*pontozas!$B$1)+if(left(tipp!M54,find(":",tipp!M54)-1)-right(tipp!M54,(len(tipp!M54)-find(":",tipp!M54)))=tipp!$G54-tipp!$H54,pontozas!$B$2,0)+if(tipp!M54=tipp!$F54,pontozas!$B$3),""),"")</f>
        <v>0</v>
      </c>
      <c r="E55">
        <f>if(E$1&lt;&gt;"",iferror(if(if(left(tipp!N54,find(":",tipp!N54)-1)&gt;right(tipp!N54,(len(tipp!N54)-find(":",tipp!N54))),1,if(right(tipp!N54,(len(tipp!N54)-find(":",tipp!N54)))&gt;left(tipp!N54,find(":",tipp!N54)-1),2,"x"))=tipp!$I54,tipp!$J54*pontozas!$B$1)+if(left(tipp!N54,find(":",tipp!N54)-1)-right(tipp!N54,(len(tipp!N54)-find(":",tipp!N54)))=tipp!$G54-tipp!$H54,pontozas!$B$2,0)+if(tipp!N54=tipp!$F54,pontozas!$B$3),""),"")</f>
        <v>0</v>
      </c>
      <c r="F55">
        <f>if(F$1&lt;&gt;"",iferror(if(if(left(tipp!O54,find(":",tipp!O54)-1)&gt;right(tipp!O54,(len(tipp!O54)-find(":",tipp!O54))),1,if(right(tipp!O54,(len(tipp!O54)-find(":",tipp!O54)))&gt;left(tipp!O54,find(":",tipp!O54)-1),2,"x"))=tipp!$I54,tipp!$J54*pontozas!$B$1)+if(left(tipp!O54,find(":",tipp!O54)-1)-right(tipp!O54,(len(tipp!O54)-find(":",tipp!O54)))=tipp!$G54-tipp!$H54,pontozas!$B$2,0)+if(tipp!O54=tipp!$F54,pontozas!$B$3),""),"")</f>
        <v>0</v>
      </c>
      <c r="G55" t="str">
        <f>if(G$1&lt;&gt;"",iferror(if(if(left(tipp!P54,find(":",tipp!P54)-1)&gt;right(tipp!P54,(len(tipp!P54)-find(":",tipp!P54))),1,if(right(tipp!P54,(len(tipp!P54)-find(":",tipp!P54)))&gt;left(tipp!P54,find(":",tipp!P54)-1),2,"x"))=tipp!$I54,tipp!$J54*pontozas!$B$1)+if(left(tipp!P54,find(":",tipp!P54)-1)-right(tipp!P54,(len(tipp!P54)-find(":",tipp!P54)))=tipp!$G54-tipp!$H54,pontozas!$B$2,0)+if(tipp!P54=tipp!$F54,pontozas!$B$3),""),"")</f>
        <v/>
      </c>
      <c r="H55">
        <f>if(H$1&lt;&gt;"",iferror(if(if(left(tipp!Q54,find(":",tipp!Q54)-1)&gt;right(tipp!Q54,(len(tipp!Q54)-find(":",tipp!Q54))),1,if(right(tipp!Q54,(len(tipp!Q54)-find(":",tipp!Q54)))&gt;left(tipp!Q54,find(":",tipp!Q54)-1),2,"x"))=tipp!$I54,tipp!$J54*pontozas!$B$1)+if(left(tipp!Q54,find(":",tipp!Q54)-1)-right(tipp!Q54,(len(tipp!Q54)-find(":",tipp!Q54)))=tipp!$G54-tipp!$H54,pontozas!$B$2,0)+if(tipp!Q54=tipp!$F54,pontozas!$B$3),""),"")</f>
        <v>0</v>
      </c>
      <c r="I55" t="str">
        <f>if(I$1&lt;&gt;"",iferror(if(if(left(tipp!R54,find(":",tipp!R54)-1)&gt;right(tipp!R54,(len(tipp!R54)-find(":",tipp!R54))),1,if(right(tipp!R54,(len(tipp!R54)-find(":",tipp!R54)))&gt;left(tipp!R54,find(":",tipp!R54)-1),2,"x"))=tipp!$I54,tipp!$J54*pontozas!$B$1)+if(left(tipp!R54,find(":",tipp!R54)-1)-right(tipp!R54,(len(tipp!R54)-find(":",tipp!R54)))=tipp!$G54-tipp!$H54,pontozas!$B$2,0)+if(tipp!R54=tipp!$F54,pontozas!$B$3),""),"")</f>
        <v/>
      </c>
      <c r="J55" t="str">
        <f>if(J$1&lt;&gt;"",iferror(if(if(left(tipp!S54,find(":",tipp!S54)-1)&gt;right(tipp!S54,(len(tipp!S54)-find(":",tipp!S54))),1,if(right(tipp!S54,(len(tipp!S54)-find(":",tipp!S54)))&gt;left(tipp!S54,find(":",tipp!S54)-1),2,"x"))=tipp!$I54,tipp!$J54*pontozas!$B$1)+if(left(tipp!S54,find(":",tipp!S54)-1)-right(tipp!S54,(len(tipp!S54)-find(":",tipp!S54)))=tipp!$G54-tipp!$H54,pontozas!$B$2,0)+if(tipp!S54=tipp!$F54,pontozas!$B$3),""),"")</f>
        <v/>
      </c>
      <c r="K55" t="str">
        <f>if(K$1&lt;&gt;"",iferror(if(if(left(tipp!T54,find(":",tipp!T54)-1)&gt;right(tipp!T54,(len(tipp!T54)-find(":",tipp!T54))),1,if(right(tipp!T54,(len(tipp!T54)-find(":",tipp!T54)))&gt;left(tipp!T54,find(":",tipp!T54)-1),2,"x"))=tipp!$I54,tipp!$J54*pontozas!$B$1)+if(left(tipp!T54,find(":",tipp!T54)-1)-right(tipp!T54,(len(tipp!T54)-find(":",tipp!T54)))=tipp!$G54-tipp!$H54,pontozas!$B$2,0)+if(tipp!T54=tipp!$F54,pontozas!$B$3),""),"")</f>
        <v/>
      </c>
      <c r="L55" t="str">
        <f>if(L$1&lt;&gt;"",iferror(if(if(left(tipp!U54,find(":",tipp!U54)-1)&gt;right(tipp!U54,(len(tipp!U54)-find(":",tipp!U54))),1,if(right(tipp!U54,(len(tipp!U54)-find(":",tipp!U54)))&gt;left(tipp!U54,find(":",tipp!U54)-1),2,"x"))=tipp!$I54,tipp!$J54*pontozas!$B$1)+if(left(tipp!U54,find(":",tipp!U54)-1)-right(tipp!U54,(len(tipp!U54)-find(":",tipp!U54)))=tipp!$G54-tipp!$H54,pontozas!$B$2,0)+if(tipp!U54=tipp!$F54,pontozas!$B$3),""),"")</f>
        <v/>
      </c>
      <c r="M55" t="str">
        <f>if(M$1&lt;&gt;"",iferror(if(if(left(tipp!V54,find(":",tipp!V54)-1)&gt;right(tipp!V54,(len(tipp!V54)-find(":",tipp!V54))),1,if(right(tipp!V54,(len(tipp!V54)-find(":",tipp!V54)))&gt;left(tipp!V54,find(":",tipp!V54)-1),2,"x"))=tipp!$I54,tipp!$J54*pontozas!$B$1)+if(left(tipp!V54,find(":",tipp!V54)-1)-right(tipp!V54,(len(tipp!V54)-find(":",tipp!V54)))=tipp!$G54-tipp!$H54,pontozas!$B$2,0)+if(tipp!V54=tipp!$F54,pontozas!$B$3),""),"")</f>
        <v/>
      </c>
      <c r="N55" t="str">
        <f>if(N$1&lt;&gt;"",iferror(if(if(left(tipp!W54,find(":",tipp!W54)-1)&gt;right(tipp!W54,(len(tipp!W54)-find(":",tipp!W54))),1,if(right(tipp!W54,(len(tipp!W54)-find(":",tipp!W54)))&gt;left(tipp!W54,find(":",tipp!W54)-1),2,"x"))=tipp!$I54,tipp!$J54*pontozas!$B$1)+if(left(tipp!W54,find(":",tipp!W54)-1)-right(tipp!W54,(len(tipp!W54)-find(":",tipp!W54)))=tipp!$G54-tipp!$H54,pontozas!$B$2,0)+if(tipp!W54=tipp!$F54,pontozas!$B$3),""),"")</f>
        <v/>
      </c>
      <c r="O55" t="str">
        <f>if(O$1&lt;&gt;"",iferror(if(if(left(tipp!X54,find(":",tipp!X54)-1)&gt;right(tipp!X54,(len(tipp!X54)-find(":",tipp!X54))),1,if(right(tipp!X54,(len(tipp!X54)-find(":",tipp!X54)))&gt;left(tipp!X54,find(":",tipp!X54)-1),2,"x"))=tipp!$I54,tipp!$J54*pontozas!$B$1)+if(left(tipp!X54,find(":",tipp!X54)-1)-right(tipp!X54,(len(tipp!X54)-find(":",tipp!X54)))=tipp!$G54-tipp!$H54,pontozas!$B$2,0)+if(tipp!X54=tipp!$F54,pontozas!$B$3),""),"")</f>
        <v/>
      </c>
    </row>
    <row r="56">
      <c r="A56" t="str">
        <f>CONCATENATE(tipp!A55&amp;" : "&amp;tipp!B55)</f>
        <v>Switzerland : France</v>
      </c>
      <c r="B56">
        <f>if(B$1&lt;&gt;"",iferror(if(if(left(tipp!K55,find(":",tipp!K55)-1)&gt;right(tipp!K55,(len(tipp!K55)-find(":",tipp!K55))),1,if(right(tipp!K55,(len(tipp!K55)-find(":",tipp!K55)))&gt;left(tipp!K55,find(":",tipp!K55)-1),2,"x"))=tipp!$I55,tipp!$J55*pontozas!$B$1)+if(left(tipp!K55,find(":",tipp!K55)-1)-right(tipp!K55,(len(tipp!K55)-find(":",tipp!K55)))=tipp!$G55-tipp!$H55,pontozas!$B$2,0)+if(tipp!K55=tipp!$F55,pontozas!$B$3),""),"")</f>
        <v>0</v>
      </c>
      <c r="C56">
        <f>if(C$1&lt;&gt;"",iferror(if(if(left(tipp!L55,find(":",tipp!L55)-1)&gt;right(tipp!L55,(len(tipp!L55)-find(":",tipp!L55))),1,if(right(tipp!L55,(len(tipp!L55)-find(":",tipp!L55)))&gt;left(tipp!L55,find(":",tipp!L55)-1),2,"x"))=tipp!$I55,tipp!$J55*pontozas!$B$1)+if(left(tipp!L55,find(":",tipp!L55)-1)-right(tipp!L55,(len(tipp!L55)-find(":",tipp!L55)))=tipp!$G55-tipp!$H55,pontozas!$B$2,0)+if(tipp!L55=tipp!$F55,pontozas!$B$3),""),"")</f>
        <v>1.6</v>
      </c>
      <c r="D56">
        <f>if(D$1&lt;&gt;"",iferror(if(if(left(tipp!M55,find(":",tipp!M55)-1)&gt;right(tipp!M55,(len(tipp!M55)-find(":",tipp!M55))),1,if(right(tipp!M55,(len(tipp!M55)-find(":",tipp!M55)))&gt;left(tipp!M55,find(":",tipp!M55)-1),2,"x"))=tipp!$I55,tipp!$J55*pontozas!$B$1)+if(left(tipp!M55,find(":",tipp!M55)-1)-right(tipp!M55,(len(tipp!M55)-find(":",tipp!M55)))=tipp!$G55-tipp!$H55,pontozas!$B$2,0)+if(tipp!M55=tipp!$F55,pontozas!$B$3),""),"")</f>
        <v>1.6</v>
      </c>
      <c r="E56">
        <f>if(E$1&lt;&gt;"",iferror(if(if(left(tipp!N55,find(":",tipp!N55)-1)&gt;right(tipp!N55,(len(tipp!N55)-find(":",tipp!N55))),1,if(right(tipp!N55,(len(tipp!N55)-find(":",tipp!N55)))&gt;left(tipp!N55,find(":",tipp!N55)-1),2,"x"))=tipp!$I55,tipp!$J55*pontozas!$B$1)+if(left(tipp!N55,find(":",tipp!N55)-1)-right(tipp!N55,(len(tipp!N55)-find(":",tipp!N55)))=tipp!$G55-tipp!$H55,pontozas!$B$2,0)+if(tipp!N55=tipp!$F55,pontozas!$B$3),""),"")</f>
        <v>1.6</v>
      </c>
      <c r="F56">
        <f>if(F$1&lt;&gt;"",iferror(if(if(left(tipp!O55,find(":",tipp!O55)-1)&gt;right(tipp!O55,(len(tipp!O55)-find(":",tipp!O55))),1,if(right(tipp!O55,(len(tipp!O55)-find(":",tipp!O55)))&gt;left(tipp!O55,find(":",tipp!O55)-1),2,"x"))=tipp!$I55,tipp!$J55*pontozas!$B$1)+if(left(tipp!O55,find(":",tipp!O55)-1)-right(tipp!O55,(len(tipp!O55)-find(":",tipp!O55)))=tipp!$G55-tipp!$H55,pontozas!$B$2,0)+if(tipp!O55=tipp!$F55,pontozas!$B$3),""),"")</f>
        <v>1.6</v>
      </c>
      <c r="G56" t="str">
        <f>if(G$1&lt;&gt;"",iferror(if(if(left(tipp!P55,find(":",tipp!P55)-1)&gt;right(tipp!P55,(len(tipp!P55)-find(":",tipp!P55))),1,if(right(tipp!P55,(len(tipp!P55)-find(":",tipp!P55)))&gt;left(tipp!P55,find(":",tipp!P55)-1),2,"x"))=tipp!$I55,tipp!$J55*pontozas!$B$1)+if(left(tipp!P55,find(":",tipp!P55)-1)-right(tipp!P55,(len(tipp!P55)-find(":",tipp!P55)))=tipp!$G55-tipp!$H55,pontozas!$B$2,0)+if(tipp!P55=tipp!$F55,pontozas!$B$3),""),"")</f>
        <v/>
      </c>
      <c r="H56">
        <f>if(H$1&lt;&gt;"",iferror(if(if(left(tipp!Q55,find(":",tipp!Q55)-1)&gt;right(tipp!Q55,(len(tipp!Q55)-find(":",tipp!Q55))),1,if(right(tipp!Q55,(len(tipp!Q55)-find(":",tipp!Q55)))&gt;left(tipp!Q55,find(":",tipp!Q55)-1),2,"x"))=tipp!$I55,tipp!$J55*pontozas!$B$1)+if(left(tipp!Q55,find(":",tipp!Q55)-1)-right(tipp!Q55,(len(tipp!Q55)-find(":",tipp!Q55)))=tipp!$G55-tipp!$H55,pontozas!$B$2,0)+if(tipp!Q55=tipp!$F55,pontozas!$B$3),""),"")</f>
        <v>1.6</v>
      </c>
      <c r="I56" t="str">
        <f>if(I$1&lt;&gt;"",iferror(if(if(left(tipp!R55,find(":",tipp!R55)-1)&gt;right(tipp!R55,(len(tipp!R55)-find(":",tipp!R55))),1,if(right(tipp!R55,(len(tipp!R55)-find(":",tipp!R55)))&gt;left(tipp!R55,find(":",tipp!R55)-1),2,"x"))=tipp!$I55,tipp!$J55*pontozas!$B$1)+if(left(tipp!R55,find(":",tipp!R55)-1)-right(tipp!R55,(len(tipp!R55)-find(":",tipp!R55)))=tipp!$G55-tipp!$H55,pontozas!$B$2,0)+if(tipp!R55=tipp!$F55,pontozas!$B$3),""),"")</f>
        <v/>
      </c>
      <c r="J56" t="str">
        <f>if(J$1&lt;&gt;"",iferror(if(if(left(tipp!S55,find(":",tipp!S55)-1)&gt;right(tipp!S55,(len(tipp!S55)-find(":",tipp!S55))),1,if(right(tipp!S55,(len(tipp!S55)-find(":",tipp!S55)))&gt;left(tipp!S55,find(":",tipp!S55)-1),2,"x"))=tipp!$I55,tipp!$J55*pontozas!$B$1)+if(left(tipp!S55,find(":",tipp!S55)-1)-right(tipp!S55,(len(tipp!S55)-find(":",tipp!S55)))=tipp!$G55-tipp!$H55,pontozas!$B$2,0)+if(tipp!S55=tipp!$F55,pontozas!$B$3),""),"")</f>
        <v/>
      </c>
      <c r="K56" t="str">
        <f>if(K$1&lt;&gt;"",iferror(if(if(left(tipp!T55,find(":",tipp!T55)-1)&gt;right(tipp!T55,(len(tipp!T55)-find(":",tipp!T55))),1,if(right(tipp!T55,(len(tipp!T55)-find(":",tipp!T55)))&gt;left(tipp!T55,find(":",tipp!T55)-1),2,"x"))=tipp!$I55,tipp!$J55*pontozas!$B$1)+if(left(tipp!T55,find(":",tipp!T55)-1)-right(tipp!T55,(len(tipp!T55)-find(":",tipp!T55)))=tipp!$G55-tipp!$H55,pontozas!$B$2,0)+if(tipp!T55=tipp!$F55,pontozas!$B$3),""),"")</f>
        <v/>
      </c>
      <c r="L56" t="str">
        <f>if(L$1&lt;&gt;"",iferror(if(if(left(tipp!U55,find(":",tipp!U55)-1)&gt;right(tipp!U55,(len(tipp!U55)-find(":",tipp!U55))),1,if(right(tipp!U55,(len(tipp!U55)-find(":",tipp!U55)))&gt;left(tipp!U55,find(":",tipp!U55)-1),2,"x"))=tipp!$I55,tipp!$J55*pontozas!$B$1)+if(left(tipp!U55,find(":",tipp!U55)-1)-right(tipp!U55,(len(tipp!U55)-find(":",tipp!U55)))=tipp!$G55-tipp!$H55,pontozas!$B$2,0)+if(tipp!U55=tipp!$F55,pontozas!$B$3),""),"")</f>
        <v/>
      </c>
      <c r="M56" t="str">
        <f>if(M$1&lt;&gt;"",iferror(if(if(left(tipp!V55,find(":",tipp!V55)-1)&gt;right(tipp!V55,(len(tipp!V55)-find(":",tipp!V55))),1,if(right(tipp!V55,(len(tipp!V55)-find(":",tipp!V55)))&gt;left(tipp!V55,find(":",tipp!V55)-1),2,"x"))=tipp!$I55,tipp!$J55*pontozas!$B$1)+if(left(tipp!V55,find(":",tipp!V55)-1)-right(tipp!V55,(len(tipp!V55)-find(":",tipp!V55)))=tipp!$G55-tipp!$H55,pontozas!$B$2,0)+if(tipp!V55=tipp!$F55,pontozas!$B$3),""),"")</f>
        <v/>
      </c>
      <c r="N56" t="str">
        <f>if(N$1&lt;&gt;"",iferror(if(if(left(tipp!W55,find(":",tipp!W55)-1)&gt;right(tipp!W55,(len(tipp!W55)-find(":",tipp!W55))),1,if(right(tipp!W55,(len(tipp!W55)-find(":",tipp!W55)))&gt;left(tipp!W55,find(":",tipp!W55)-1),2,"x"))=tipp!$I55,tipp!$J55*pontozas!$B$1)+if(left(tipp!W55,find(":",tipp!W55)-1)-right(tipp!W55,(len(tipp!W55)-find(":",tipp!W55)))=tipp!$G55-tipp!$H55,pontozas!$B$2,0)+if(tipp!W55=tipp!$F55,pontozas!$B$3),""),"")</f>
        <v/>
      </c>
      <c r="O56" t="str">
        <f>if(O$1&lt;&gt;"",iferror(if(if(left(tipp!X55,find(":",tipp!X55)-1)&gt;right(tipp!X55,(len(tipp!X55)-find(":",tipp!X55))),1,if(right(tipp!X55,(len(tipp!X55)-find(":",tipp!X55)))&gt;left(tipp!X55,find(":",tipp!X55)-1),2,"x"))=tipp!$I55,tipp!$J55*pontozas!$B$1)+if(left(tipp!X55,find(":",tipp!X55)-1)-right(tipp!X55,(len(tipp!X55)-find(":",tipp!X55)))=tipp!$G55-tipp!$H55,pontozas!$B$2,0)+if(tipp!X55=tipp!$F55,pontozas!$B$3),""),"")</f>
        <v/>
      </c>
    </row>
    <row r="57">
      <c r="A57" t="str">
        <f>CONCATENATE(tipp!A56&amp;" : "&amp;tipp!B56)</f>
        <v>Belarus : Slovakia</v>
      </c>
      <c r="B57">
        <f>if(B$1&lt;&gt;"",iferror(if(if(left(tipp!K56,find(":",tipp!K56)-1)&gt;right(tipp!K56,(len(tipp!K56)-find(":",tipp!K56))),1,if(right(tipp!K56,(len(tipp!K56)-find(":",tipp!K56)))&gt;left(tipp!K56,find(":",tipp!K56)-1),2,"x"))=tipp!$I56,tipp!$J56*pontozas!$B$1)+if(left(tipp!K56,find(":",tipp!K56)-1)-right(tipp!K56,(len(tipp!K56)-find(":",tipp!K56)))=tipp!$G56-tipp!$H56,pontozas!$B$2,0)+if(tipp!K56=tipp!$F56,pontozas!$B$3),""),"")</f>
        <v>0</v>
      </c>
      <c r="C57">
        <f>if(C$1&lt;&gt;"",iferror(if(if(left(tipp!L56,find(":",tipp!L56)-1)&gt;right(tipp!L56,(len(tipp!L56)-find(":",tipp!L56))),1,if(right(tipp!L56,(len(tipp!L56)-find(":",tipp!L56)))&gt;left(tipp!L56,find(":",tipp!L56)-1),2,"x"))=tipp!$I56,tipp!$J56*pontozas!$B$1)+if(left(tipp!L56,find(":",tipp!L56)-1)-right(tipp!L56,(len(tipp!L56)-find(":",tipp!L56)))=tipp!$G56-tipp!$H56,pontozas!$B$2,0)+if(tipp!L56=tipp!$F56,pontozas!$B$3),""),"")</f>
        <v>1.85</v>
      </c>
      <c r="D57">
        <f>if(D$1&lt;&gt;"",iferror(if(if(left(tipp!M56,find(":",tipp!M56)-1)&gt;right(tipp!M56,(len(tipp!M56)-find(":",tipp!M56))),1,if(right(tipp!M56,(len(tipp!M56)-find(":",tipp!M56)))&gt;left(tipp!M56,find(":",tipp!M56)-1),2,"x"))=tipp!$I56,tipp!$J56*pontozas!$B$1)+if(left(tipp!M56,find(":",tipp!M56)-1)-right(tipp!M56,(len(tipp!M56)-find(":",tipp!M56)))=tipp!$G56-tipp!$H56,pontozas!$B$2,0)+if(tipp!M56=tipp!$F56,pontozas!$B$3),""),"")</f>
        <v>1.85</v>
      </c>
      <c r="E57">
        <f>if(E$1&lt;&gt;"",iferror(if(if(left(tipp!N56,find(":",tipp!N56)-1)&gt;right(tipp!N56,(len(tipp!N56)-find(":",tipp!N56))),1,if(right(tipp!N56,(len(tipp!N56)-find(":",tipp!N56)))&gt;left(tipp!N56,find(":",tipp!N56)-1),2,"x"))=tipp!$I56,tipp!$J56*pontozas!$B$1)+if(left(tipp!N56,find(":",tipp!N56)-1)-right(tipp!N56,(len(tipp!N56)-find(":",tipp!N56)))=tipp!$G56-tipp!$H56,pontozas!$B$2,0)+if(tipp!N56=tipp!$F56,pontozas!$B$3),""),"")</f>
        <v>0</v>
      </c>
      <c r="F57">
        <f>if(F$1&lt;&gt;"",iferror(if(if(left(tipp!O56,find(":",tipp!O56)-1)&gt;right(tipp!O56,(len(tipp!O56)-find(":",tipp!O56))),1,if(right(tipp!O56,(len(tipp!O56)-find(":",tipp!O56)))&gt;left(tipp!O56,find(":",tipp!O56)-1),2,"x"))=tipp!$I56,tipp!$J56*pontozas!$B$1)+if(left(tipp!O56,find(":",tipp!O56)-1)-right(tipp!O56,(len(tipp!O56)-find(":",tipp!O56)))=tipp!$G56-tipp!$H56,pontozas!$B$2,0)+if(tipp!O56=tipp!$F56,pontozas!$B$3),""),"")</f>
        <v>2.85</v>
      </c>
      <c r="G57" t="str">
        <f>if(G$1&lt;&gt;"",iferror(if(if(left(tipp!P56,find(":",tipp!P56)-1)&gt;right(tipp!P56,(len(tipp!P56)-find(":",tipp!P56))),1,if(right(tipp!P56,(len(tipp!P56)-find(":",tipp!P56)))&gt;left(tipp!P56,find(":",tipp!P56)-1),2,"x"))=tipp!$I56,tipp!$J56*pontozas!$B$1)+if(left(tipp!P56,find(":",tipp!P56)-1)-right(tipp!P56,(len(tipp!P56)-find(":",tipp!P56)))=tipp!$G56-tipp!$H56,pontozas!$B$2,0)+if(tipp!P56=tipp!$F56,pontozas!$B$3),""),"")</f>
        <v/>
      </c>
      <c r="H57">
        <f>if(H$1&lt;&gt;"",iferror(if(if(left(tipp!Q56,find(":",tipp!Q56)-1)&gt;right(tipp!Q56,(len(tipp!Q56)-find(":",tipp!Q56))),1,if(right(tipp!Q56,(len(tipp!Q56)-find(":",tipp!Q56)))&gt;left(tipp!Q56,find(":",tipp!Q56)-1),2,"x"))=tipp!$I56,tipp!$J56*pontozas!$B$1)+if(left(tipp!Q56,find(":",tipp!Q56)-1)-right(tipp!Q56,(len(tipp!Q56)-find(":",tipp!Q56)))=tipp!$G56-tipp!$H56,pontozas!$B$2,0)+if(tipp!Q56=tipp!$F56,pontozas!$B$3),""),"")</f>
        <v>0</v>
      </c>
      <c r="I57" t="str">
        <f>if(I$1&lt;&gt;"",iferror(if(if(left(tipp!R56,find(":",tipp!R56)-1)&gt;right(tipp!R56,(len(tipp!R56)-find(":",tipp!R56))),1,if(right(tipp!R56,(len(tipp!R56)-find(":",tipp!R56)))&gt;left(tipp!R56,find(":",tipp!R56)-1),2,"x"))=tipp!$I56,tipp!$J56*pontozas!$B$1)+if(left(tipp!R56,find(":",tipp!R56)-1)-right(tipp!R56,(len(tipp!R56)-find(":",tipp!R56)))=tipp!$G56-tipp!$H56,pontozas!$B$2,0)+if(tipp!R56=tipp!$F56,pontozas!$B$3),""),"")</f>
        <v/>
      </c>
      <c r="J57" t="str">
        <f>if(J$1&lt;&gt;"",iferror(if(if(left(tipp!S56,find(":",tipp!S56)-1)&gt;right(tipp!S56,(len(tipp!S56)-find(":",tipp!S56))),1,if(right(tipp!S56,(len(tipp!S56)-find(":",tipp!S56)))&gt;left(tipp!S56,find(":",tipp!S56)-1),2,"x"))=tipp!$I56,tipp!$J56*pontozas!$B$1)+if(left(tipp!S56,find(":",tipp!S56)-1)-right(tipp!S56,(len(tipp!S56)-find(":",tipp!S56)))=tipp!$G56-tipp!$H56,pontozas!$B$2,0)+if(tipp!S56=tipp!$F56,pontozas!$B$3),""),"")</f>
        <v/>
      </c>
      <c r="K57" t="str">
        <f>if(K$1&lt;&gt;"",iferror(if(if(left(tipp!T56,find(":",tipp!T56)-1)&gt;right(tipp!T56,(len(tipp!T56)-find(":",tipp!T56))),1,if(right(tipp!T56,(len(tipp!T56)-find(":",tipp!T56)))&gt;left(tipp!T56,find(":",tipp!T56)-1),2,"x"))=tipp!$I56,tipp!$J56*pontozas!$B$1)+if(left(tipp!T56,find(":",tipp!T56)-1)-right(tipp!T56,(len(tipp!T56)-find(":",tipp!T56)))=tipp!$G56-tipp!$H56,pontozas!$B$2,0)+if(tipp!T56=tipp!$F56,pontozas!$B$3),""),"")</f>
        <v/>
      </c>
      <c r="L57" t="str">
        <f>if(L$1&lt;&gt;"",iferror(if(if(left(tipp!U56,find(":",tipp!U56)-1)&gt;right(tipp!U56,(len(tipp!U56)-find(":",tipp!U56))),1,if(right(tipp!U56,(len(tipp!U56)-find(":",tipp!U56)))&gt;left(tipp!U56,find(":",tipp!U56)-1),2,"x"))=tipp!$I56,tipp!$J56*pontozas!$B$1)+if(left(tipp!U56,find(":",tipp!U56)-1)-right(tipp!U56,(len(tipp!U56)-find(":",tipp!U56)))=tipp!$G56-tipp!$H56,pontozas!$B$2,0)+if(tipp!U56=tipp!$F56,pontozas!$B$3),""),"")</f>
        <v/>
      </c>
      <c r="M57" t="str">
        <f>if(M$1&lt;&gt;"",iferror(if(if(left(tipp!V56,find(":",tipp!V56)-1)&gt;right(tipp!V56,(len(tipp!V56)-find(":",tipp!V56))),1,if(right(tipp!V56,(len(tipp!V56)-find(":",tipp!V56)))&gt;left(tipp!V56,find(":",tipp!V56)-1),2,"x"))=tipp!$I56,tipp!$J56*pontozas!$B$1)+if(left(tipp!V56,find(":",tipp!V56)-1)-right(tipp!V56,(len(tipp!V56)-find(":",tipp!V56)))=tipp!$G56-tipp!$H56,pontozas!$B$2,0)+if(tipp!V56=tipp!$F56,pontozas!$B$3),""),"")</f>
        <v/>
      </c>
      <c r="N57" t="str">
        <f>if(N$1&lt;&gt;"",iferror(if(if(left(tipp!W56,find(":",tipp!W56)-1)&gt;right(tipp!W56,(len(tipp!W56)-find(":",tipp!W56))),1,if(right(tipp!W56,(len(tipp!W56)-find(":",tipp!W56)))&gt;left(tipp!W56,find(":",tipp!W56)-1),2,"x"))=tipp!$I56,tipp!$J56*pontozas!$B$1)+if(left(tipp!W56,find(":",tipp!W56)-1)-right(tipp!W56,(len(tipp!W56)-find(":",tipp!W56)))=tipp!$G56-tipp!$H56,pontozas!$B$2,0)+if(tipp!W56=tipp!$F56,pontozas!$B$3),""),"")</f>
        <v/>
      </c>
      <c r="O57" t="str">
        <f>if(O$1&lt;&gt;"",iferror(if(if(left(tipp!X56,find(":",tipp!X56)-1)&gt;right(tipp!X56,(len(tipp!X56)-find(":",tipp!X56))),1,if(right(tipp!X56,(len(tipp!X56)-find(":",tipp!X56)))&gt;left(tipp!X56,find(":",tipp!X56)-1),2,"x"))=tipp!$I56,tipp!$J56*pontozas!$B$1)+if(left(tipp!X56,find(":",tipp!X56)-1)-right(tipp!X56,(len(tipp!X56)-find(":",tipp!X56)))=tipp!$G56-tipp!$H56,pontozas!$B$2,0)+if(tipp!X56=tipp!$F56,pontozas!$B$3),""),"")</f>
        <v/>
      </c>
    </row>
    <row r="58">
      <c r="A58" t="str">
        <f>CONCATENATE(tipp!A57&amp;" : "&amp;tipp!B57)</f>
        <v>Russia : Sweden</v>
      </c>
      <c r="B58">
        <f>if(B$1&lt;&gt;"",iferror(if(if(left(tipp!K57,find(":",tipp!K57)-1)&gt;right(tipp!K57,(len(tipp!K57)-find(":",tipp!K57))),1,if(right(tipp!K57,(len(tipp!K57)-find(":",tipp!K57)))&gt;left(tipp!K57,find(":",tipp!K57)-1),2,"x"))=tipp!$I57,tipp!$J57*pontozas!$B$1)+if(left(tipp!K57,find(":",tipp!K57)-1)-right(tipp!K57,(len(tipp!K57)-find(":",tipp!K57)))=tipp!$G57-tipp!$H57,pontozas!$B$2,0)+if(tipp!K57=tipp!$F57,pontozas!$B$3),""),"")</f>
        <v>0</v>
      </c>
      <c r="C58">
        <f>if(C$1&lt;&gt;"",iferror(if(if(left(tipp!L57,find(":",tipp!L57)-1)&gt;right(tipp!L57,(len(tipp!L57)-find(":",tipp!L57))),1,if(right(tipp!L57,(len(tipp!L57)-find(":",tipp!L57)))&gt;left(tipp!L57,find(":",tipp!L57)-1),2,"x"))=tipp!$I57,tipp!$J57*pontozas!$B$1)+if(left(tipp!L57,find(":",tipp!L57)-1)-right(tipp!L57,(len(tipp!L57)-find(":",tipp!L57)))=tipp!$G57-tipp!$H57,pontozas!$B$2,0)+if(tipp!L57=tipp!$F57,pontozas!$B$3),""),"")</f>
        <v>3.4</v>
      </c>
      <c r="D58">
        <f>if(D$1&lt;&gt;"",iferror(if(if(left(tipp!M57,find(":",tipp!M57)-1)&gt;right(tipp!M57,(len(tipp!M57)-find(":",tipp!M57))),1,if(right(tipp!M57,(len(tipp!M57)-find(":",tipp!M57)))&gt;left(tipp!M57,find(":",tipp!M57)-1),2,"x"))=tipp!$I57,tipp!$J57*pontozas!$B$1)+if(left(tipp!M57,find(":",tipp!M57)-1)-right(tipp!M57,(len(tipp!M57)-find(":",tipp!M57)))=tipp!$G57-tipp!$H57,pontozas!$B$2,0)+if(tipp!M57=tipp!$F57,pontozas!$B$3),""),"")</f>
        <v>0</v>
      </c>
      <c r="E58">
        <f>if(E$1&lt;&gt;"",iferror(if(if(left(tipp!N57,find(":",tipp!N57)-1)&gt;right(tipp!N57,(len(tipp!N57)-find(":",tipp!N57))),1,if(right(tipp!N57,(len(tipp!N57)-find(":",tipp!N57)))&gt;left(tipp!N57,find(":",tipp!N57)-1),2,"x"))=tipp!$I57,tipp!$J57*pontozas!$B$1)+if(left(tipp!N57,find(":",tipp!N57)-1)-right(tipp!N57,(len(tipp!N57)-find(":",tipp!N57)))=tipp!$G57-tipp!$H57,pontozas!$B$2,0)+if(tipp!N57=tipp!$F57,pontozas!$B$3),""),"")</f>
        <v>2.4</v>
      </c>
      <c r="F58">
        <f>if(F$1&lt;&gt;"",iferror(if(if(left(tipp!O57,find(":",tipp!O57)-1)&gt;right(tipp!O57,(len(tipp!O57)-find(":",tipp!O57))),1,if(right(tipp!O57,(len(tipp!O57)-find(":",tipp!O57)))&gt;left(tipp!O57,find(":",tipp!O57)-1),2,"x"))=tipp!$I57,tipp!$J57*pontozas!$B$1)+if(left(tipp!O57,find(":",tipp!O57)-1)-right(tipp!O57,(len(tipp!O57)-find(":",tipp!O57)))=tipp!$G57-tipp!$H57,pontozas!$B$2,0)+if(tipp!O57=tipp!$F57,pontozas!$B$3),""),"")</f>
        <v>0</v>
      </c>
      <c r="G58" t="str">
        <f>if(G$1&lt;&gt;"",iferror(if(if(left(tipp!P57,find(":",tipp!P57)-1)&gt;right(tipp!P57,(len(tipp!P57)-find(":",tipp!P57))),1,if(right(tipp!P57,(len(tipp!P57)-find(":",tipp!P57)))&gt;left(tipp!P57,find(":",tipp!P57)-1),2,"x"))=tipp!$I57,tipp!$J57*pontozas!$B$1)+if(left(tipp!P57,find(":",tipp!P57)-1)-right(tipp!P57,(len(tipp!P57)-find(":",tipp!P57)))=tipp!$G57-tipp!$H57,pontozas!$B$2,0)+if(tipp!P57=tipp!$F57,pontozas!$B$3),""),"")</f>
        <v/>
      </c>
      <c r="H58">
        <f>if(H$1&lt;&gt;"",iferror(if(if(left(tipp!Q57,find(":",tipp!Q57)-1)&gt;right(tipp!Q57,(len(tipp!Q57)-find(":",tipp!Q57))),1,if(right(tipp!Q57,(len(tipp!Q57)-find(":",tipp!Q57)))&gt;left(tipp!Q57,find(":",tipp!Q57)-1),2,"x"))=tipp!$I57,tipp!$J57*pontozas!$B$1)+if(left(tipp!Q57,find(":",tipp!Q57)-1)-right(tipp!Q57,(len(tipp!Q57)-find(":",tipp!Q57)))=tipp!$G57-tipp!$H57,pontozas!$B$2,0)+if(tipp!Q57=tipp!$F57,pontozas!$B$3),""),"")</f>
        <v>0</v>
      </c>
      <c r="I58" t="str">
        <f>if(I$1&lt;&gt;"",iferror(if(if(left(tipp!R57,find(":",tipp!R57)-1)&gt;right(tipp!R57,(len(tipp!R57)-find(":",tipp!R57))),1,if(right(tipp!R57,(len(tipp!R57)-find(":",tipp!R57)))&gt;left(tipp!R57,find(":",tipp!R57)-1),2,"x"))=tipp!$I57,tipp!$J57*pontozas!$B$1)+if(left(tipp!R57,find(":",tipp!R57)-1)-right(tipp!R57,(len(tipp!R57)-find(":",tipp!R57)))=tipp!$G57-tipp!$H57,pontozas!$B$2,0)+if(tipp!R57=tipp!$F57,pontozas!$B$3),""),"")</f>
        <v/>
      </c>
      <c r="J58" t="str">
        <f>if(J$1&lt;&gt;"",iferror(if(if(left(tipp!S57,find(":",tipp!S57)-1)&gt;right(tipp!S57,(len(tipp!S57)-find(":",tipp!S57))),1,if(right(tipp!S57,(len(tipp!S57)-find(":",tipp!S57)))&gt;left(tipp!S57,find(":",tipp!S57)-1),2,"x"))=tipp!$I57,tipp!$J57*pontozas!$B$1)+if(left(tipp!S57,find(":",tipp!S57)-1)-right(tipp!S57,(len(tipp!S57)-find(":",tipp!S57)))=tipp!$G57-tipp!$H57,pontozas!$B$2,0)+if(tipp!S57=tipp!$F57,pontozas!$B$3),""),"")</f>
        <v/>
      </c>
      <c r="K58" t="str">
        <f>if(K$1&lt;&gt;"",iferror(if(if(left(tipp!T57,find(":",tipp!T57)-1)&gt;right(tipp!T57,(len(tipp!T57)-find(":",tipp!T57))),1,if(right(tipp!T57,(len(tipp!T57)-find(":",tipp!T57)))&gt;left(tipp!T57,find(":",tipp!T57)-1),2,"x"))=tipp!$I57,tipp!$J57*pontozas!$B$1)+if(left(tipp!T57,find(":",tipp!T57)-1)-right(tipp!T57,(len(tipp!T57)-find(":",tipp!T57)))=tipp!$G57-tipp!$H57,pontozas!$B$2,0)+if(tipp!T57=tipp!$F57,pontozas!$B$3),""),"")</f>
        <v/>
      </c>
      <c r="L58" t="str">
        <f>if(L$1&lt;&gt;"",iferror(if(if(left(tipp!U57,find(":",tipp!U57)-1)&gt;right(tipp!U57,(len(tipp!U57)-find(":",tipp!U57))),1,if(right(tipp!U57,(len(tipp!U57)-find(":",tipp!U57)))&gt;left(tipp!U57,find(":",tipp!U57)-1),2,"x"))=tipp!$I57,tipp!$J57*pontozas!$B$1)+if(left(tipp!U57,find(":",tipp!U57)-1)-right(tipp!U57,(len(tipp!U57)-find(":",tipp!U57)))=tipp!$G57-tipp!$H57,pontozas!$B$2,0)+if(tipp!U57=tipp!$F57,pontozas!$B$3),""),"")</f>
        <v/>
      </c>
      <c r="M58" t="str">
        <f>if(M$1&lt;&gt;"",iferror(if(if(left(tipp!V57,find(":",tipp!V57)-1)&gt;right(tipp!V57,(len(tipp!V57)-find(":",tipp!V57))),1,if(right(tipp!V57,(len(tipp!V57)-find(":",tipp!V57)))&gt;left(tipp!V57,find(":",tipp!V57)-1),2,"x"))=tipp!$I57,tipp!$J57*pontozas!$B$1)+if(left(tipp!V57,find(":",tipp!V57)-1)-right(tipp!V57,(len(tipp!V57)-find(":",tipp!V57)))=tipp!$G57-tipp!$H57,pontozas!$B$2,0)+if(tipp!V57=tipp!$F57,pontozas!$B$3),""),"")</f>
        <v/>
      </c>
      <c r="N58" t="str">
        <f>if(N$1&lt;&gt;"",iferror(if(if(left(tipp!W57,find(":",tipp!W57)-1)&gt;right(tipp!W57,(len(tipp!W57)-find(":",tipp!W57))),1,if(right(tipp!W57,(len(tipp!W57)-find(":",tipp!W57)))&gt;left(tipp!W57,find(":",tipp!W57)-1),2,"x"))=tipp!$I57,tipp!$J57*pontozas!$B$1)+if(left(tipp!W57,find(":",tipp!W57)-1)-right(tipp!W57,(len(tipp!W57)-find(":",tipp!W57)))=tipp!$G57-tipp!$H57,pontozas!$B$2,0)+if(tipp!W57=tipp!$F57,pontozas!$B$3),""),"")</f>
        <v/>
      </c>
      <c r="O58" t="str">
        <f>if(O$1&lt;&gt;"",iferror(if(if(left(tipp!X57,find(":",tipp!X57)-1)&gt;right(tipp!X57,(len(tipp!X57)-find(":",tipp!X57))),1,if(right(tipp!X57,(len(tipp!X57)-find(":",tipp!X57)))&gt;left(tipp!X57,find(":",tipp!X57)-1),2,"x"))=tipp!$I57,tipp!$J57*pontozas!$B$1)+if(left(tipp!X57,find(":",tipp!X57)-1)-right(tipp!X57,(len(tipp!X57)-find(":",tipp!X57)))=tipp!$G57-tipp!$H57,pontozas!$B$2,0)+if(tipp!X57=tipp!$F57,pontozas!$B$3),""),"")</f>
        <v/>
      </c>
    </row>
    <row r="59">
      <c r="A59" t="str">
        <f>CONCATENATE(tipp!A58&amp;" : "&amp;tipp!B58)</f>
        <v>Finland : United States</v>
      </c>
      <c r="B59">
        <f>if(B$1&lt;&gt;"",iferror(if(if(left(tipp!K58,find(":",tipp!K58)-1)&gt;right(tipp!K58,(len(tipp!K58)-find(":",tipp!K58))),1,if(right(tipp!K58,(len(tipp!K58)-find(":",tipp!K58)))&gt;left(tipp!K58,find(":",tipp!K58)-1),2,"x"))=tipp!$I58,tipp!$J58*pontozas!$B$1)+if(left(tipp!K58,find(":",tipp!K58)-1)-right(tipp!K58,(len(tipp!K58)-find(":",tipp!K58)))=tipp!$G58-tipp!$H58,pontozas!$B$2,0)+if(tipp!K58=tipp!$F58,pontozas!$B$3),""),"")</f>
        <v>0</v>
      </c>
      <c r="C59">
        <f>if(C$1&lt;&gt;"",iferror(if(if(left(tipp!L58,find(":",tipp!L58)-1)&gt;right(tipp!L58,(len(tipp!L58)-find(":",tipp!L58))),1,if(right(tipp!L58,(len(tipp!L58)-find(":",tipp!L58)))&gt;left(tipp!L58,find(":",tipp!L58)-1),2,"x"))=tipp!$I58,tipp!$J58*pontozas!$B$1)+if(left(tipp!L58,find(":",tipp!L58)-1)-right(tipp!L58,(len(tipp!L58)-find(":",tipp!L58)))=tipp!$G58-tipp!$H58,pontozas!$B$2,0)+if(tipp!L58=tipp!$F58,pontozas!$B$3),""),"")</f>
        <v>2.25</v>
      </c>
      <c r="D59">
        <f>if(D$1&lt;&gt;"",iferror(if(if(left(tipp!M58,find(":",tipp!M58)-1)&gt;right(tipp!M58,(len(tipp!M58)-find(":",tipp!M58))),1,if(right(tipp!M58,(len(tipp!M58)-find(":",tipp!M58)))&gt;left(tipp!M58,find(":",tipp!M58)-1),2,"x"))=tipp!$I58,tipp!$J58*pontozas!$B$1)+if(left(tipp!M58,find(":",tipp!M58)-1)-right(tipp!M58,(len(tipp!M58)-find(":",tipp!M58)))=tipp!$G58-tipp!$H58,pontozas!$B$2,0)+if(tipp!M58=tipp!$F58,pontozas!$B$3),""),"")</f>
        <v>0</v>
      </c>
      <c r="E59">
        <f>if(E$1&lt;&gt;"",iferror(if(if(left(tipp!N58,find(":",tipp!N58)-1)&gt;right(tipp!N58,(len(tipp!N58)-find(":",tipp!N58))),1,if(right(tipp!N58,(len(tipp!N58)-find(":",tipp!N58)))&gt;left(tipp!N58,find(":",tipp!N58)-1),2,"x"))=tipp!$I58,tipp!$J58*pontozas!$B$1)+if(left(tipp!N58,find(":",tipp!N58)-1)-right(tipp!N58,(len(tipp!N58)-find(":",tipp!N58)))=tipp!$G58-tipp!$H58,pontozas!$B$2,0)+if(tipp!N58=tipp!$F58,pontozas!$B$3),""),"")</f>
        <v>0</v>
      </c>
      <c r="F59">
        <f>if(F$1&lt;&gt;"",iferror(if(if(left(tipp!O58,find(":",tipp!O58)-1)&gt;right(tipp!O58,(len(tipp!O58)-find(":",tipp!O58))),1,if(right(tipp!O58,(len(tipp!O58)-find(":",tipp!O58)))&gt;left(tipp!O58,find(":",tipp!O58)-1),2,"x"))=tipp!$I58,tipp!$J58*pontozas!$B$1)+if(left(tipp!O58,find(":",tipp!O58)-1)-right(tipp!O58,(len(tipp!O58)-find(":",tipp!O58)))=tipp!$G58-tipp!$H58,pontozas!$B$2,0)+if(tipp!O58=tipp!$F58,pontozas!$B$3),""),"")</f>
        <v>0</v>
      </c>
      <c r="G59" t="str">
        <f>if(G$1&lt;&gt;"",iferror(if(if(left(tipp!P58,find(":",tipp!P58)-1)&gt;right(tipp!P58,(len(tipp!P58)-find(":",tipp!P58))),1,if(right(tipp!P58,(len(tipp!P58)-find(":",tipp!P58)))&gt;left(tipp!P58,find(":",tipp!P58)-1),2,"x"))=tipp!$I58,tipp!$J58*pontozas!$B$1)+if(left(tipp!P58,find(":",tipp!P58)-1)-right(tipp!P58,(len(tipp!P58)-find(":",tipp!P58)))=tipp!$G58-tipp!$H58,pontozas!$B$2,0)+if(tipp!P58=tipp!$F58,pontozas!$B$3),""),"")</f>
        <v/>
      </c>
      <c r="H59">
        <f>if(H$1&lt;&gt;"",iferror(if(if(left(tipp!Q58,find(":",tipp!Q58)-1)&gt;right(tipp!Q58,(len(tipp!Q58)-find(":",tipp!Q58))),1,if(right(tipp!Q58,(len(tipp!Q58)-find(":",tipp!Q58)))&gt;left(tipp!Q58,find(":",tipp!Q58)-1),2,"x"))=tipp!$I58,tipp!$J58*pontozas!$B$1)+if(left(tipp!Q58,find(":",tipp!Q58)-1)-right(tipp!Q58,(len(tipp!Q58)-find(":",tipp!Q58)))=tipp!$G58-tipp!$H58,pontozas!$B$2,0)+if(tipp!Q58=tipp!$F58,pontozas!$B$3),""),"")</f>
        <v>0</v>
      </c>
      <c r="I59" t="str">
        <f>if(I$1&lt;&gt;"",iferror(if(if(left(tipp!R58,find(":",tipp!R58)-1)&gt;right(tipp!R58,(len(tipp!R58)-find(":",tipp!R58))),1,if(right(tipp!R58,(len(tipp!R58)-find(":",tipp!R58)))&gt;left(tipp!R58,find(":",tipp!R58)-1),2,"x"))=tipp!$I58,tipp!$J58*pontozas!$B$1)+if(left(tipp!R58,find(":",tipp!R58)-1)-right(tipp!R58,(len(tipp!R58)-find(":",tipp!R58)))=tipp!$G58-tipp!$H58,pontozas!$B$2,0)+if(tipp!R58=tipp!$F58,pontozas!$B$3),""),"")</f>
        <v/>
      </c>
      <c r="J59" t="str">
        <f>if(J$1&lt;&gt;"",iferror(if(if(left(tipp!S58,find(":",tipp!S58)-1)&gt;right(tipp!S58,(len(tipp!S58)-find(":",tipp!S58))),1,if(right(tipp!S58,(len(tipp!S58)-find(":",tipp!S58)))&gt;left(tipp!S58,find(":",tipp!S58)-1),2,"x"))=tipp!$I58,tipp!$J58*pontozas!$B$1)+if(left(tipp!S58,find(":",tipp!S58)-1)-right(tipp!S58,(len(tipp!S58)-find(":",tipp!S58)))=tipp!$G58-tipp!$H58,pontozas!$B$2,0)+if(tipp!S58=tipp!$F58,pontozas!$B$3),""),"")</f>
        <v/>
      </c>
      <c r="K59" t="str">
        <f>if(K$1&lt;&gt;"",iferror(if(if(left(tipp!T58,find(":",tipp!T58)-1)&gt;right(tipp!T58,(len(tipp!T58)-find(":",tipp!T58))),1,if(right(tipp!T58,(len(tipp!T58)-find(":",tipp!T58)))&gt;left(tipp!T58,find(":",tipp!T58)-1),2,"x"))=tipp!$I58,tipp!$J58*pontozas!$B$1)+if(left(tipp!T58,find(":",tipp!T58)-1)-right(tipp!T58,(len(tipp!T58)-find(":",tipp!T58)))=tipp!$G58-tipp!$H58,pontozas!$B$2,0)+if(tipp!T58=tipp!$F58,pontozas!$B$3),""),"")</f>
        <v/>
      </c>
      <c r="L59" t="str">
        <f>if(L$1&lt;&gt;"",iferror(if(if(left(tipp!U58,find(":",tipp!U58)-1)&gt;right(tipp!U58,(len(tipp!U58)-find(":",tipp!U58))),1,if(right(tipp!U58,(len(tipp!U58)-find(":",tipp!U58)))&gt;left(tipp!U58,find(":",tipp!U58)-1),2,"x"))=tipp!$I58,tipp!$J58*pontozas!$B$1)+if(left(tipp!U58,find(":",tipp!U58)-1)-right(tipp!U58,(len(tipp!U58)-find(":",tipp!U58)))=tipp!$G58-tipp!$H58,pontozas!$B$2,0)+if(tipp!U58=tipp!$F58,pontozas!$B$3),""),"")</f>
        <v/>
      </c>
      <c r="M59" t="str">
        <f>if(M$1&lt;&gt;"",iferror(if(if(left(tipp!V58,find(":",tipp!V58)-1)&gt;right(tipp!V58,(len(tipp!V58)-find(":",tipp!V58))),1,if(right(tipp!V58,(len(tipp!V58)-find(":",tipp!V58)))&gt;left(tipp!V58,find(":",tipp!V58)-1),2,"x"))=tipp!$I58,tipp!$J58*pontozas!$B$1)+if(left(tipp!V58,find(":",tipp!V58)-1)-right(tipp!V58,(len(tipp!V58)-find(":",tipp!V58)))=tipp!$G58-tipp!$H58,pontozas!$B$2,0)+if(tipp!V58=tipp!$F58,pontozas!$B$3),""),"")</f>
        <v/>
      </c>
      <c r="N59" t="str">
        <f>if(N$1&lt;&gt;"",iferror(if(if(left(tipp!W58,find(":",tipp!W58)-1)&gt;right(tipp!W58,(len(tipp!W58)-find(":",tipp!W58))),1,if(right(tipp!W58,(len(tipp!W58)-find(":",tipp!W58)))&gt;left(tipp!W58,find(":",tipp!W58)-1),2,"x"))=tipp!$I58,tipp!$J58*pontozas!$B$1)+if(left(tipp!W58,find(":",tipp!W58)-1)-right(tipp!W58,(len(tipp!W58)-find(":",tipp!W58)))=tipp!$G58-tipp!$H58,pontozas!$B$2,0)+if(tipp!W58=tipp!$F58,pontozas!$B$3),""),"")</f>
        <v/>
      </c>
      <c r="O59" t="str">
        <f>if(O$1&lt;&gt;"",iferror(if(if(left(tipp!X58,find(":",tipp!X58)-1)&gt;right(tipp!X58,(len(tipp!X58)-find(":",tipp!X58))),1,if(right(tipp!X58,(len(tipp!X58)-find(":",tipp!X58)))&gt;left(tipp!X58,find(":",tipp!X58)-1),2,"x"))=tipp!$I58,tipp!$J58*pontozas!$B$1)+if(left(tipp!X58,find(":",tipp!X58)-1)-right(tipp!X58,(len(tipp!X58)-find(":",tipp!X58)))=tipp!$G58-tipp!$H58,pontozas!$B$2,0)+if(tipp!X58=tipp!$F58,pontozas!$B$3),""),"")</f>
        <v/>
      </c>
    </row>
    <row r="60">
      <c r="A60" t="str">
        <f>CONCATENATE(tipp!A59&amp;" : "&amp;tipp!B59)</f>
        <v>Canada : Germany</v>
      </c>
      <c r="B60">
        <f>if(B$1&lt;&gt;"",iferror(if(if(left(tipp!K59,find(":",tipp!K59)-1)&gt;right(tipp!K59,(len(tipp!K59)-find(":",tipp!K59))),1,if(right(tipp!K59,(len(tipp!K59)-find(":",tipp!K59)))&gt;left(tipp!K59,find(":",tipp!K59)-1),2,"x"))=tipp!$I59,tipp!$J59*pontozas!$B$1)+if(left(tipp!K59,find(":",tipp!K59)-1)-right(tipp!K59,(len(tipp!K59)-find(":",tipp!K59)))=tipp!$G59-tipp!$H59,pontozas!$B$2,0)+if(tipp!K59=tipp!$F59,pontozas!$B$3),""),"")</f>
        <v>0</v>
      </c>
      <c r="C60">
        <f>if(C$1&lt;&gt;"",iferror(if(if(left(tipp!L59,find(":",tipp!L59)-1)&gt;right(tipp!L59,(len(tipp!L59)-find(":",tipp!L59))),1,if(right(tipp!L59,(len(tipp!L59)-find(":",tipp!L59)))&gt;left(tipp!L59,find(":",tipp!L59)-1),2,"x"))=tipp!$I59,tipp!$J59*pontozas!$B$1)+if(left(tipp!L59,find(":",tipp!L59)-1)-right(tipp!L59,(len(tipp!L59)-find(":",tipp!L59)))=tipp!$G59-tipp!$H59,pontozas!$B$2,0)+if(tipp!L59=tipp!$F59,pontozas!$B$3),""),"")</f>
        <v>1.16</v>
      </c>
      <c r="D60">
        <f>if(D$1&lt;&gt;"",iferror(if(if(left(tipp!M59,find(":",tipp!M59)-1)&gt;right(tipp!M59,(len(tipp!M59)-find(":",tipp!M59))),1,if(right(tipp!M59,(len(tipp!M59)-find(":",tipp!M59)))&gt;left(tipp!M59,find(":",tipp!M59)-1),2,"x"))=tipp!$I59,tipp!$J59*pontozas!$B$1)+if(left(tipp!M59,find(":",tipp!M59)-1)-right(tipp!M59,(len(tipp!M59)-find(":",tipp!M59)))=tipp!$G59-tipp!$H59,pontozas!$B$2,0)+if(tipp!M59=tipp!$F59,pontozas!$B$3),""),"")</f>
        <v>2.16</v>
      </c>
      <c r="E60">
        <f>if(E$1&lt;&gt;"",iferror(if(if(left(tipp!N59,find(":",tipp!N59)-1)&gt;right(tipp!N59,(len(tipp!N59)-find(":",tipp!N59))),1,if(right(tipp!N59,(len(tipp!N59)-find(":",tipp!N59)))&gt;left(tipp!N59,find(":",tipp!N59)-1),2,"x"))=tipp!$I59,tipp!$J59*pontozas!$B$1)+if(left(tipp!N59,find(":",tipp!N59)-1)-right(tipp!N59,(len(tipp!N59)-find(":",tipp!N59)))=tipp!$G59-tipp!$H59,pontozas!$B$2,0)+if(tipp!N59=tipp!$F59,pontozas!$B$3),""),"")</f>
        <v>1.16</v>
      </c>
      <c r="F60">
        <f>if(F$1&lt;&gt;"",iferror(if(if(left(tipp!O59,find(":",tipp!O59)-1)&gt;right(tipp!O59,(len(tipp!O59)-find(":",tipp!O59))),1,if(right(tipp!O59,(len(tipp!O59)-find(":",tipp!O59)))&gt;left(tipp!O59,find(":",tipp!O59)-1),2,"x"))=tipp!$I59,tipp!$J59*pontozas!$B$1)+if(left(tipp!O59,find(":",tipp!O59)-1)-right(tipp!O59,(len(tipp!O59)-find(":",tipp!O59)))=tipp!$G59-tipp!$H59,pontozas!$B$2,0)+if(tipp!O59=tipp!$F59,pontozas!$B$3),""),"")</f>
        <v>0</v>
      </c>
      <c r="G60" t="str">
        <f>if(G$1&lt;&gt;"",iferror(if(if(left(tipp!P59,find(":",tipp!P59)-1)&gt;right(tipp!P59,(len(tipp!P59)-find(":",tipp!P59))),1,if(right(tipp!P59,(len(tipp!P59)-find(":",tipp!P59)))&gt;left(tipp!P59,find(":",tipp!P59)-1),2,"x"))=tipp!$I59,tipp!$J59*pontozas!$B$1)+if(left(tipp!P59,find(":",tipp!P59)-1)-right(tipp!P59,(len(tipp!P59)-find(":",tipp!P59)))=tipp!$G59-tipp!$H59,pontozas!$B$2,0)+if(tipp!P59=tipp!$F59,pontozas!$B$3),""),"")</f>
        <v/>
      </c>
      <c r="H60">
        <f>if(H$1&lt;&gt;"",iferror(if(if(left(tipp!Q59,find(":",tipp!Q59)-1)&gt;right(tipp!Q59,(len(tipp!Q59)-find(":",tipp!Q59))),1,if(right(tipp!Q59,(len(tipp!Q59)-find(":",tipp!Q59)))&gt;left(tipp!Q59,find(":",tipp!Q59)-1),2,"x"))=tipp!$I59,tipp!$J59*pontozas!$B$1)+if(left(tipp!Q59,find(":",tipp!Q59)-1)-right(tipp!Q59,(len(tipp!Q59)-find(":",tipp!Q59)))=tipp!$G59-tipp!$H59,pontozas!$B$2,0)+if(tipp!Q59=tipp!$F59,pontozas!$B$3),""),"")</f>
        <v>1.16</v>
      </c>
      <c r="I60" t="str">
        <f>if(I$1&lt;&gt;"",iferror(if(if(left(tipp!R59,find(":",tipp!R59)-1)&gt;right(tipp!R59,(len(tipp!R59)-find(":",tipp!R59))),1,if(right(tipp!R59,(len(tipp!R59)-find(":",tipp!R59)))&gt;left(tipp!R59,find(":",tipp!R59)-1),2,"x"))=tipp!$I59,tipp!$J59*pontozas!$B$1)+if(left(tipp!R59,find(":",tipp!R59)-1)-right(tipp!R59,(len(tipp!R59)-find(":",tipp!R59)))=tipp!$G59-tipp!$H59,pontozas!$B$2,0)+if(tipp!R59=tipp!$F59,pontozas!$B$3),""),"")</f>
        <v/>
      </c>
      <c r="J60" t="str">
        <f>if(J$1&lt;&gt;"",iferror(if(if(left(tipp!S59,find(":",tipp!S59)-1)&gt;right(tipp!S59,(len(tipp!S59)-find(":",tipp!S59))),1,if(right(tipp!S59,(len(tipp!S59)-find(":",tipp!S59)))&gt;left(tipp!S59,find(":",tipp!S59)-1),2,"x"))=tipp!$I59,tipp!$J59*pontozas!$B$1)+if(left(tipp!S59,find(":",tipp!S59)-1)-right(tipp!S59,(len(tipp!S59)-find(":",tipp!S59)))=tipp!$G59-tipp!$H59,pontozas!$B$2,0)+if(tipp!S59=tipp!$F59,pontozas!$B$3),""),"")</f>
        <v/>
      </c>
      <c r="K60" t="str">
        <f>if(K$1&lt;&gt;"",iferror(if(if(left(tipp!T59,find(":",tipp!T59)-1)&gt;right(tipp!T59,(len(tipp!T59)-find(":",tipp!T59))),1,if(right(tipp!T59,(len(tipp!T59)-find(":",tipp!T59)))&gt;left(tipp!T59,find(":",tipp!T59)-1),2,"x"))=tipp!$I59,tipp!$J59*pontozas!$B$1)+if(left(tipp!T59,find(":",tipp!T59)-1)-right(tipp!T59,(len(tipp!T59)-find(":",tipp!T59)))=tipp!$G59-tipp!$H59,pontozas!$B$2,0)+if(tipp!T59=tipp!$F59,pontozas!$B$3),""),"")</f>
        <v/>
      </c>
      <c r="L60" t="str">
        <f>if(L$1&lt;&gt;"",iferror(if(if(left(tipp!U59,find(":",tipp!U59)-1)&gt;right(tipp!U59,(len(tipp!U59)-find(":",tipp!U59))),1,if(right(tipp!U59,(len(tipp!U59)-find(":",tipp!U59)))&gt;left(tipp!U59,find(":",tipp!U59)-1),2,"x"))=tipp!$I59,tipp!$J59*pontozas!$B$1)+if(left(tipp!U59,find(":",tipp!U59)-1)-right(tipp!U59,(len(tipp!U59)-find(":",tipp!U59)))=tipp!$G59-tipp!$H59,pontozas!$B$2,0)+if(tipp!U59=tipp!$F59,pontozas!$B$3),""),"")</f>
        <v/>
      </c>
      <c r="M60" t="str">
        <f>if(M$1&lt;&gt;"",iferror(if(if(left(tipp!V59,find(":",tipp!V59)-1)&gt;right(tipp!V59,(len(tipp!V59)-find(":",tipp!V59))),1,if(right(tipp!V59,(len(tipp!V59)-find(":",tipp!V59)))&gt;left(tipp!V59,find(":",tipp!V59)-1),2,"x"))=tipp!$I59,tipp!$J59*pontozas!$B$1)+if(left(tipp!V59,find(":",tipp!V59)-1)-right(tipp!V59,(len(tipp!V59)-find(":",tipp!V59)))=tipp!$G59-tipp!$H59,pontozas!$B$2,0)+if(tipp!V59=tipp!$F59,pontozas!$B$3),""),"")</f>
        <v/>
      </c>
      <c r="N60" t="str">
        <f>if(N$1&lt;&gt;"",iferror(if(if(left(tipp!W59,find(":",tipp!W59)-1)&gt;right(tipp!W59,(len(tipp!W59)-find(":",tipp!W59))),1,if(right(tipp!W59,(len(tipp!W59)-find(":",tipp!W59)))&gt;left(tipp!W59,find(":",tipp!W59)-1),2,"x"))=tipp!$I59,tipp!$J59*pontozas!$B$1)+if(left(tipp!W59,find(":",tipp!W59)-1)-right(tipp!W59,(len(tipp!W59)-find(":",tipp!W59)))=tipp!$G59-tipp!$H59,pontozas!$B$2,0)+if(tipp!W59=tipp!$F59,pontozas!$B$3),""),"")</f>
        <v/>
      </c>
      <c r="O60" t="str">
        <f>if(O$1&lt;&gt;"",iferror(if(if(left(tipp!X59,find(":",tipp!X59)-1)&gt;right(tipp!X59,(len(tipp!X59)-find(":",tipp!X59))),1,if(right(tipp!X59,(len(tipp!X59)-find(":",tipp!X59)))&gt;left(tipp!X59,find(":",tipp!X59)-1),2,"x"))=tipp!$I59,tipp!$J59*pontozas!$B$1)+if(left(tipp!X59,find(":",tipp!X59)-1)-right(tipp!X59,(len(tipp!X59)-find(":",tipp!X59)))=tipp!$G59-tipp!$H59,pontozas!$B$2,0)+if(tipp!X59=tipp!$F59,pontozas!$B$3),""),"")</f>
        <v/>
      </c>
    </row>
    <row r="61">
      <c r="A61" t="str">
        <f>CONCATENATE(tipp!A60&amp;" : "&amp;tipp!B60)</f>
        <v>Latvia : Denmark</v>
      </c>
      <c r="B61">
        <f>if(B$1&lt;&gt;"",iferror(if(if(left(tipp!K60,find(":",tipp!K60)-1)&gt;right(tipp!K60,(len(tipp!K60)-find(":",tipp!K60))),1,if(right(tipp!K60,(len(tipp!K60)-find(":",tipp!K60)))&gt;left(tipp!K60,find(":",tipp!K60)-1),2,"x"))=tipp!$I60,tipp!$J60*pontozas!$B$1)+if(left(tipp!K60,find(":",tipp!K60)-1)-right(tipp!K60,(len(tipp!K60)-find(":",tipp!K60)))=tipp!$G60-tipp!$H60,pontozas!$B$2,0)+if(tipp!K60=tipp!$F60,pontozas!$B$3),""),"")</f>
        <v>0</v>
      </c>
      <c r="C61">
        <f>if(C$1&lt;&gt;"",iferror(if(if(left(tipp!L60,find(":",tipp!L60)-1)&gt;right(tipp!L60,(len(tipp!L60)-find(":",tipp!L60))),1,if(right(tipp!L60,(len(tipp!L60)-find(":",tipp!L60)))&gt;left(tipp!L60,find(":",tipp!L60)-1),2,"x"))=tipp!$I60,tipp!$J60*pontozas!$B$1)+if(left(tipp!L60,find(":",tipp!L60)-1)-right(tipp!L60,(len(tipp!L60)-find(":",tipp!L60)))=tipp!$G60-tipp!$H60,pontozas!$B$2,0)+if(tipp!L60=tipp!$F60,pontozas!$B$3),""),"")</f>
        <v>0</v>
      </c>
      <c r="D61">
        <f>if(D$1&lt;&gt;"",iferror(if(if(left(tipp!M60,find(":",tipp!M60)-1)&gt;right(tipp!M60,(len(tipp!M60)-find(":",tipp!M60))),1,if(right(tipp!M60,(len(tipp!M60)-find(":",tipp!M60)))&gt;left(tipp!M60,find(":",tipp!M60)-1),2,"x"))=tipp!$I60,tipp!$J60*pontozas!$B$1)+if(left(tipp!M60,find(":",tipp!M60)-1)-right(tipp!M60,(len(tipp!M60)-find(":",tipp!M60)))=tipp!$G60-tipp!$H60,pontozas!$B$2,0)+if(tipp!M60=tipp!$F60,pontozas!$B$3),""),"")</f>
        <v>0</v>
      </c>
      <c r="E61">
        <f>if(E$1&lt;&gt;"",iferror(if(if(left(tipp!N60,find(":",tipp!N60)-1)&gt;right(tipp!N60,(len(tipp!N60)-find(":",tipp!N60))),1,if(right(tipp!N60,(len(tipp!N60)-find(":",tipp!N60)))&gt;left(tipp!N60,find(":",tipp!N60)-1),2,"x"))=tipp!$I60,tipp!$J60*pontozas!$B$1)+if(left(tipp!N60,find(":",tipp!N60)-1)-right(tipp!N60,(len(tipp!N60)-find(":",tipp!N60)))=tipp!$G60-tipp!$H60,pontozas!$B$2,0)+if(tipp!N60=tipp!$F60,pontozas!$B$3),""),"")</f>
        <v>0</v>
      </c>
      <c r="F61">
        <f>if(F$1&lt;&gt;"",iferror(if(if(left(tipp!O60,find(":",tipp!O60)-1)&gt;right(tipp!O60,(len(tipp!O60)-find(":",tipp!O60))),1,if(right(tipp!O60,(len(tipp!O60)-find(":",tipp!O60)))&gt;left(tipp!O60,find(":",tipp!O60)-1),2,"x"))=tipp!$I60,tipp!$J60*pontozas!$B$1)+if(left(tipp!O60,find(":",tipp!O60)-1)-right(tipp!O60,(len(tipp!O60)-find(":",tipp!O60)))=tipp!$G60-tipp!$H60,pontozas!$B$2,0)+if(tipp!O60=tipp!$F60,pontozas!$B$3),""),"")</f>
        <v>0</v>
      </c>
      <c r="G61" t="str">
        <f>if(G$1&lt;&gt;"",iferror(if(if(left(tipp!P60,find(":",tipp!P60)-1)&gt;right(tipp!P60,(len(tipp!P60)-find(":",tipp!P60))),1,if(right(tipp!P60,(len(tipp!P60)-find(":",tipp!P60)))&gt;left(tipp!P60,find(":",tipp!P60)-1),2,"x"))=tipp!$I60,tipp!$J60*pontozas!$B$1)+if(left(tipp!P60,find(":",tipp!P60)-1)-right(tipp!P60,(len(tipp!P60)-find(":",tipp!P60)))=tipp!$G60-tipp!$H60,pontozas!$B$2,0)+if(tipp!P60=tipp!$F60,pontozas!$B$3),""),"")</f>
        <v/>
      </c>
      <c r="H61">
        <f>if(H$1&lt;&gt;"",iferror(if(if(left(tipp!Q60,find(":",tipp!Q60)-1)&gt;right(tipp!Q60,(len(tipp!Q60)-find(":",tipp!Q60))),1,if(right(tipp!Q60,(len(tipp!Q60)-find(":",tipp!Q60)))&gt;left(tipp!Q60,find(":",tipp!Q60)-1),2,"x"))=tipp!$I60,tipp!$J60*pontozas!$B$1)+if(left(tipp!Q60,find(":",tipp!Q60)-1)-right(tipp!Q60,(len(tipp!Q60)-find(":",tipp!Q60)))=tipp!$G60-tipp!$H60,pontozas!$B$2,0)+if(tipp!Q60=tipp!$F60,pontozas!$B$3),""),"")</f>
        <v>2.7</v>
      </c>
      <c r="I61" t="str">
        <f>if(I$1&lt;&gt;"",iferror(if(if(left(tipp!R60,find(":",tipp!R60)-1)&gt;right(tipp!R60,(len(tipp!R60)-find(":",tipp!R60))),1,if(right(tipp!R60,(len(tipp!R60)-find(":",tipp!R60)))&gt;left(tipp!R60,find(":",tipp!R60)-1),2,"x"))=tipp!$I60,tipp!$J60*pontozas!$B$1)+if(left(tipp!R60,find(":",tipp!R60)-1)-right(tipp!R60,(len(tipp!R60)-find(":",tipp!R60)))=tipp!$G60-tipp!$H60,pontozas!$B$2,0)+if(tipp!R60=tipp!$F60,pontozas!$B$3),""),"")</f>
        <v/>
      </c>
      <c r="J61" t="str">
        <f>if(J$1&lt;&gt;"",iferror(if(if(left(tipp!S60,find(":",tipp!S60)-1)&gt;right(tipp!S60,(len(tipp!S60)-find(":",tipp!S60))),1,if(right(tipp!S60,(len(tipp!S60)-find(":",tipp!S60)))&gt;left(tipp!S60,find(":",tipp!S60)-1),2,"x"))=tipp!$I60,tipp!$J60*pontozas!$B$1)+if(left(tipp!S60,find(":",tipp!S60)-1)-right(tipp!S60,(len(tipp!S60)-find(":",tipp!S60)))=tipp!$G60-tipp!$H60,pontozas!$B$2,0)+if(tipp!S60=tipp!$F60,pontozas!$B$3),""),"")</f>
        <v/>
      </c>
      <c r="K61" t="str">
        <f>if(K$1&lt;&gt;"",iferror(if(if(left(tipp!T60,find(":",tipp!T60)-1)&gt;right(tipp!T60,(len(tipp!T60)-find(":",tipp!T60))),1,if(right(tipp!T60,(len(tipp!T60)-find(":",tipp!T60)))&gt;left(tipp!T60,find(":",tipp!T60)-1),2,"x"))=tipp!$I60,tipp!$J60*pontozas!$B$1)+if(left(tipp!T60,find(":",tipp!T60)-1)-right(tipp!T60,(len(tipp!T60)-find(":",tipp!T60)))=tipp!$G60-tipp!$H60,pontozas!$B$2,0)+if(tipp!T60=tipp!$F60,pontozas!$B$3),""),"")</f>
        <v/>
      </c>
      <c r="L61" t="str">
        <f>if(L$1&lt;&gt;"",iferror(if(if(left(tipp!U60,find(":",tipp!U60)-1)&gt;right(tipp!U60,(len(tipp!U60)-find(":",tipp!U60))),1,if(right(tipp!U60,(len(tipp!U60)-find(":",tipp!U60)))&gt;left(tipp!U60,find(":",tipp!U60)-1),2,"x"))=tipp!$I60,tipp!$J60*pontozas!$B$1)+if(left(tipp!U60,find(":",tipp!U60)-1)-right(tipp!U60,(len(tipp!U60)-find(":",tipp!U60)))=tipp!$G60-tipp!$H60,pontozas!$B$2,0)+if(tipp!U60=tipp!$F60,pontozas!$B$3),""),"")</f>
        <v/>
      </c>
      <c r="M61" t="str">
        <f>if(M$1&lt;&gt;"",iferror(if(if(left(tipp!V60,find(":",tipp!V60)-1)&gt;right(tipp!V60,(len(tipp!V60)-find(":",tipp!V60))),1,if(right(tipp!V60,(len(tipp!V60)-find(":",tipp!V60)))&gt;left(tipp!V60,find(":",tipp!V60)-1),2,"x"))=tipp!$I60,tipp!$J60*pontozas!$B$1)+if(left(tipp!V60,find(":",tipp!V60)-1)-right(tipp!V60,(len(tipp!V60)-find(":",tipp!V60)))=tipp!$G60-tipp!$H60,pontozas!$B$2,0)+if(tipp!V60=tipp!$F60,pontozas!$B$3),""),"")</f>
        <v/>
      </c>
      <c r="N61" t="str">
        <f>if(N$1&lt;&gt;"",iferror(if(if(left(tipp!W60,find(":",tipp!W60)-1)&gt;right(tipp!W60,(len(tipp!W60)-find(":",tipp!W60))),1,if(right(tipp!W60,(len(tipp!W60)-find(":",tipp!W60)))&gt;left(tipp!W60,find(":",tipp!W60)-1),2,"x"))=tipp!$I60,tipp!$J60*pontozas!$B$1)+if(left(tipp!W60,find(":",tipp!W60)-1)-right(tipp!W60,(len(tipp!W60)-find(":",tipp!W60)))=tipp!$G60-tipp!$H60,pontozas!$B$2,0)+if(tipp!W60=tipp!$F60,pontozas!$B$3),""),"")</f>
        <v/>
      </c>
      <c r="O61" t="str">
        <f>if(O$1&lt;&gt;"",iferror(if(if(left(tipp!X60,find(":",tipp!X60)-1)&gt;right(tipp!X60,(len(tipp!X60)-find(":",tipp!X60))),1,if(right(tipp!X60,(len(tipp!X60)-find(":",tipp!X60)))&gt;left(tipp!X60,find(":",tipp!X60)-1),2,"x"))=tipp!$I60,tipp!$J60*pontozas!$B$1)+if(left(tipp!X60,find(":",tipp!X60)-1)-right(tipp!X60,(len(tipp!X60)-find(":",tipp!X60)))=tipp!$G60-tipp!$H60,pontozas!$B$2,0)+if(tipp!X60=tipp!$F60,pontozas!$B$3),""),"")</f>
        <v/>
      </c>
    </row>
    <row r="62">
      <c r="A62" t="str">
        <f>CONCATENATE(tipp!A61&amp;" : "&amp;tipp!B61)</f>
        <v>Russia : Canada</v>
      </c>
      <c r="B62">
        <f>if(B$1&lt;&gt;"",iferror(if(if(left(tipp!K61,find(":",tipp!K61)-1)&gt;right(tipp!K61,(len(tipp!K61)-find(":",tipp!K61))),1,if(right(tipp!K61,(len(tipp!K61)-find(":",tipp!K61)))&gt;left(tipp!K61,find(":",tipp!K61)-1),2,"x"))=tipp!$I61,tipp!$J61*pontozas!$B$1)+if(left(tipp!K61,find(":",tipp!K61)-1)-right(tipp!K61,(len(tipp!K61)-find(":",tipp!K61)))=tipp!$G61-tipp!$H61,pontozas!$B$2,0)+if(tipp!K61=tipp!$F61,pontozas!$B$3),""),"")</f>
        <v>5.75</v>
      </c>
      <c r="C62">
        <f>if(C$1&lt;&gt;"",iferror(if(if(left(tipp!L61,find(":",tipp!L61)-1)&gt;right(tipp!L61,(len(tipp!L61)-find(":",tipp!L61))),1,if(right(tipp!L61,(len(tipp!L61)-find(":",tipp!L61)))&gt;left(tipp!L61,find(":",tipp!L61)-1),2,"x"))=tipp!$I61,tipp!$J61*pontozas!$B$1)+if(left(tipp!L61,find(":",tipp!L61)-1)-right(tipp!L61,(len(tipp!L61)-find(":",tipp!L61)))=tipp!$G61-tipp!$H61,pontozas!$B$2,0)+if(tipp!L61=tipp!$F61,pontozas!$B$3),""),"")</f>
        <v>0</v>
      </c>
      <c r="D62">
        <f>if(D$1&lt;&gt;"",iferror(if(if(left(tipp!M61,find(":",tipp!M61)-1)&gt;right(tipp!M61,(len(tipp!M61)-find(":",tipp!M61))),1,if(right(tipp!M61,(len(tipp!M61)-find(":",tipp!M61)))&gt;left(tipp!M61,find(":",tipp!M61)-1),2,"x"))=tipp!$I61,tipp!$J61*pontozas!$B$1)+if(left(tipp!M61,find(":",tipp!M61)-1)-right(tipp!M61,(len(tipp!M61)-find(":",tipp!M61)))=tipp!$G61-tipp!$H61,pontozas!$B$2,0)+if(tipp!M61=tipp!$F61,pontozas!$B$3),""),"")</f>
        <v>5.75</v>
      </c>
      <c r="E62">
        <f>if(E$1&lt;&gt;"",iferror(if(if(left(tipp!N61,find(":",tipp!N61)-1)&gt;right(tipp!N61,(len(tipp!N61)-find(":",tipp!N61))),1,if(right(tipp!N61,(len(tipp!N61)-find(":",tipp!N61)))&gt;left(tipp!N61,find(":",tipp!N61)-1),2,"x"))=tipp!$I61,tipp!$J61*pontozas!$B$1)+if(left(tipp!N61,find(":",tipp!N61)-1)-right(tipp!N61,(len(tipp!N61)-find(":",tipp!N61)))=tipp!$G61-tipp!$H61,pontozas!$B$2,0)+if(tipp!N61=tipp!$F61,pontozas!$B$3),""),"")</f>
        <v>0</v>
      </c>
      <c r="F62">
        <f>if(F$1&lt;&gt;"",iferror(if(if(left(tipp!O61,find(":",tipp!O61)-1)&gt;right(tipp!O61,(len(tipp!O61)-find(":",tipp!O61))),1,if(right(tipp!O61,(len(tipp!O61)-find(":",tipp!O61)))&gt;left(tipp!O61,find(":",tipp!O61)-1),2,"x"))=tipp!$I61,tipp!$J61*pontozas!$B$1)+if(left(tipp!O61,find(":",tipp!O61)-1)-right(tipp!O61,(len(tipp!O61)-find(":",tipp!O61)))=tipp!$G61-tipp!$H61,pontozas!$B$2,0)+if(tipp!O61=tipp!$F61,pontozas!$B$3),""),"")</f>
        <v>0</v>
      </c>
      <c r="G62" t="str">
        <f>if(G$1&lt;&gt;"",iferror(if(if(left(tipp!P61,find(":",tipp!P61)-1)&gt;right(tipp!P61,(len(tipp!P61)-find(":",tipp!P61))),1,if(right(tipp!P61,(len(tipp!P61)-find(":",tipp!P61)))&gt;left(tipp!P61,find(":",tipp!P61)-1),2,"x"))=tipp!$I61,tipp!$J61*pontozas!$B$1)+if(left(tipp!P61,find(":",tipp!P61)-1)-right(tipp!P61,(len(tipp!P61)-find(":",tipp!P61)))=tipp!$G61-tipp!$H61,pontozas!$B$2,0)+if(tipp!P61=tipp!$F61,pontozas!$B$3),""),"")</f>
        <v/>
      </c>
      <c r="H62">
        <f>if(H$1&lt;&gt;"",iferror(if(if(left(tipp!Q61,find(":",tipp!Q61)-1)&gt;right(tipp!Q61,(len(tipp!Q61)-find(":",tipp!Q61))),1,if(right(tipp!Q61,(len(tipp!Q61)-find(":",tipp!Q61)))&gt;left(tipp!Q61,find(":",tipp!Q61)-1),2,"x"))=tipp!$I61,tipp!$J61*pontozas!$B$1)+if(left(tipp!Q61,find(":",tipp!Q61)-1)-right(tipp!Q61,(len(tipp!Q61)-find(":",tipp!Q61)))=tipp!$G61-tipp!$H61,pontozas!$B$2,0)+if(tipp!Q61=tipp!$F61,pontozas!$B$3),""),"")</f>
        <v>0</v>
      </c>
      <c r="I62" t="str">
        <f>if(I$1&lt;&gt;"",iferror(if(if(left(tipp!R61,find(":",tipp!R61)-1)&gt;right(tipp!R61,(len(tipp!R61)-find(":",tipp!R61))),1,if(right(tipp!R61,(len(tipp!R61)-find(":",tipp!R61)))&gt;left(tipp!R61,find(":",tipp!R61)-1),2,"x"))=tipp!$I61,tipp!$J61*pontozas!$B$1)+if(left(tipp!R61,find(":",tipp!R61)-1)-right(tipp!R61,(len(tipp!R61)-find(":",tipp!R61)))=tipp!$G61-tipp!$H61,pontozas!$B$2,0)+if(tipp!R61=tipp!$F61,pontozas!$B$3),""),"")</f>
        <v/>
      </c>
      <c r="J62" t="str">
        <f>if(J$1&lt;&gt;"",iferror(if(if(left(tipp!S61,find(":",tipp!S61)-1)&gt;right(tipp!S61,(len(tipp!S61)-find(":",tipp!S61))),1,if(right(tipp!S61,(len(tipp!S61)-find(":",tipp!S61)))&gt;left(tipp!S61,find(":",tipp!S61)-1),2,"x"))=tipp!$I61,tipp!$J61*pontozas!$B$1)+if(left(tipp!S61,find(":",tipp!S61)-1)-right(tipp!S61,(len(tipp!S61)-find(":",tipp!S61)))=tipp!$G61-tipp!$H61,pontozas!$B$2,0)+if(tipp!S61=tipp!$F61,pontozas!$B$3),""),"")</f>
        <v/>
      </c>
      <c r="K62" t="str">
        <f>if(K$1&lt;&gt;"",iferror(if(if(left(tipp!T61,find(":",tipp!T61)-1)&gt;right(tipp!T61,(len(tipp!T61)-find(":",tipp!T61))),1,if(right(tipp!T61,(len(tipp!T61)-find(":",tipp!T61)))&gt;left(tipp!T61,find(":",tipp!T61)-1),2,"x"))=tipp!$I61,tipp!$J61*pontozas!$B$1)+if(left(tipp!T61,find(":",tipp!T61)-1)-right(tipp!T61,(len(tipp!T61)-find(":",tipp!T61)))=tipp!$G61-tipp!$H61,pontozas!$B$2,0)+if(tipp!T61=tipp!$F61,pontozas!$B$3),""),"")</f>
        <v/>
      </c>
      <c r="L62" t="str">
        <f>if(L$1&lt;&gt;"",iferror(if(if(left(tipp!U61,find(":",tipp!U61)-1)&gt;right(tipp!U61,(len(tipp!U61)-find(":",tipp!U61))),1,if(right(tipp!U61,(len(tipp!U61)-find(":",tipp!U61)))&gt;left(tipp!U61,find(":",tipp!U61)-1),2,"x"))=tipp!$I61,tipp!$J61*pontozas!$B$1)+if(left(tipp!U61,find(":",tipp!U61)-1)-right(tipp!U61,(len(tipp!U61)-find(":",tipp!U61)))=tipp!$G61-tipp!$H61,pontozas!$B$2,0)+if(tipp!U61=tipp!$F61,pontozas!$B$3),""),"")</f>
        <v/>
      </c>
      <c r="M62" t="str">
        <f>if(M$1&lt;&gt;"",iferror(if(if(left(tipp!V61,find(":",tipp!V61)-1)&gt;right(tipp!V61,(len(tipp!V61)-find(":",tipp!V61))),1,if(right(tipp!V61,(len(tipp!V61)-find(":",tipp!V61)))&gt;left(tipp!V61,find(":",tipp!V61)-1),2,"x"))=tipp!$I61,tipp!$J61*pontozas!$B$1)+if(left(tipp!V61,find(":",tipp!V61)-1)-right(tipp!V61,(len(tipp!V61)-find(":",tipp!V61)))=tipp!$G61-tipp!$H61,pontozas!$B$2,0)+if(tipp!V61=tipp!$F61,pontozas!$B$3),""),"")</f>
        <v/>
      </c>
      <c r="N62" t="str">
        <f>if(N$1&lt;&gt;"",iferror(if(if(left(tipp!W61,find(":",tipp!W61)-1)&gt;right(tipp!W61,(len(tipp!W61)-find(":",tipp!W61))),1,if(right(tipp!W61,(len(tipp!W61)-find(":",tipp!W61)))&gt;left(tipp!W61,find(":",tipp!W61)-1),2,"x"))=tipp!$I61,tipp!$J61*pontozas!$B$1)+if(left(tipp!W61,find(":",tipp!W61)-1)-right(tipp!W61,(len(tipp!W61)-find(":",tipp!W61)))=tipp!$G61-tipp!$H61,pontozas!$B$2,0)+if(tipp!W61=tipp!$F61,pontozas!$B$3),""),"")</f>
        <v/>
      </c>
      <c r="O62" t="str">
        <f>if(O$1&lt;&gt;"",iferror(if(if(left(tipp!X61,find(":",tipp!X61)-1)&gt;right(tipp!X61,(len(tipp!X61)-find(":",tipp!X61))),1,if(right(tipp!X61,(len(tipp!X61)-find(":",tipp!X61)))&gt;left(tipp!X61,find(":",tipp!X61)-1),2,"x"))=tipp!$I61,tipp!$J61*pontozas!$B$1)+if(left(tipp!X61,find(":",tipp!X61)-1)-right(tipp!X61,(len(tipp!X61)-find(":",tipp!X61)))=tipp!$G61-tipp!$H61,pontozas!$B$2,0)+if(tipp!X61=tipp!$F61,pontozas!$B$3),""),"")</f>
        <v/>
      </c>
    </row>
    <row r="63">
      <c r="A63" t="str">
        <f>CONCATENATE(tipp!A62&amp;" : "&amp;tipp!B62)</f>
        <v>United States : Czech Republic</v>
      </c>
      <c r="B63">
        <f>if(B$1&lt;&gt;"",iferror(if(if(left(tipp!K62,find(":",tipp!K62)-1)&gt;right(tipp!K62,(len(tipp!K62)-find(":",tipp!K62))),1,if(right(tipp!K62,(len(tipp!K62)-find(":",tipp!K62)))&gt;left(tipp!K62,find(":",tipp!K62)-1),2,"x"))=tipp!$I62,tipp!$J62*pontozas!$B$1)+if(left(tipp!K62,find(":",tipp!K62)-1)-right(tipp!K62,(len(tipp!K62)-find(":",tipp!K62)))=tipp!$G62-tipp!$H62,pontozas!$B$2,0)+if(tipp!K62=tipp!$F62,pontozas!$B$3),""),"")</f>
        <v>0</v>
      </c>
      <c r="C63">
        <f>if(C$1&lt;&gt;"",iferror(if(if(left(tipp!L62,find(":",tipp!L62)-1)&gt;right(tipp!L62,(len(tipp!L62)-find(":",tipp!L62))),1,if(right(tipp!L62,(len(tipp!L62)-find(":",tipp!L62)))&gt;left(tipp!L62,find(":",tipp!L62)-1),2,"x"))=tipp!$I62,tipp!$J62*pontozas!$B$1)+if(left(tipp!L62,find(":",tipp!L62)-1)-right(tipp!L62,(len(tipp!L62)-find(":",tipp!L62)))=tipp!$G62-tipp!$H62,pontozas!$B$2,0)+if(tipp!L62=tipp!$F62,pontozas!$B$3),""),"")</f>
        <v>0</v>
      </c>
      <c r="D63">
        <f>if(D$1&lt;&gt;"",iferror(if(if(left(tipp!M62,find(":",tipp!M62)-1)&gt;right(tipp!M62,(len(tipp!M62)-find(":",tipp!M62))),1,if(right(tipp!M62,(len(tipp!M62)-find(":",tipp!M62)))&gt;left(tipp!M62,find(":",tipp!M62)-1),2,"x"))=tipp!$I62,tipp!$J62*pontozas!$B$1)+if(left(tipp!M62,find(":",tipp!M62)-1)-right(tipp!M62,(len(tipp!M62)-find(":",tipp!M62)))=tipp!$G62-tipp!$H62,pontozas!$B$2,0)+if(tipp!M62=tipp!$F62,pontozas!$B$3),""),"")</f>
        <v>1.9</v>
      </c>
      <c r="E63">
        <f>if(E$1&lt;&gt;"",iferror(if(if(left(tipp!N62,find(":",tipp!N62)-1)&gt;right(tipp!N62,(len(tipp!N62)-find(":",tipp!N62))),1,if(right(tipp!N62,(len(tipp!N62)-find(":",tipp!N62)))&gt;left(tipp!N62,find(":",tipp!N62)-1),2,"x"))=tipp!$I62,tipp!$J62*pontozas!$B$1)+if(left(tipp!N62,find(":",tipp!N62)-1)-right(tipp!N62,(len(tipp!N62)-find(":",tipp!N62)))=tipp!$G62-tipp!$H62,pontozas!$B$2,0)+if(tipp!N62=tipp!$F62,pontozas!$B$3),""),"")</f>
        <v>0</v>
      </c>
      <c r="F63">
        <f>if(F$1&lt;&gt;"",iferror(if(if(left(tipp!O62,find(":",tipp!O62)-1)&gt;right(tipp!O62,(len(tipp!O62)-find(":",tipp!O62))),1,if(right(tipp!O62,(len(tipp!O62)-find(":",tipp!O62)))&gt;left(tipp!O62,find(":",tipp!O62)-1),2,"x"))=tipp!$I62,tipp!$J62*pontozas!$B$1)+if(left(tipp!O62,find(":",tipp!O62)-1)-right(tipp!O62,(len(tipp!O62)-find(":",tipp!O62)))=tipp!$G62-tipp!$H62,pontozas!$B$2,0)+if(tipp!O62=tipp!$F62,pontozas!$B$3),""),"")</f>
        <v>1.9</v>
      </c>
      <c r="G63" t="str">
        <f>if(G$1&lt;&gt;"",iferror(if(if(left(tipp!P62,find(":",tipp!P62)-1)&gt;right(tipp!P62,(len(tipp!P62)-find(":",tipp!P62))),1,if(right(tipp!P62,(len(tipp!P62)-find(":",tipp!P62)))&gt;left(tipp!P62,find(":",tipp!P62)-1),2,"x"))=tipp!$I62,tipp!$J62*pontozas!$B$1)+if(left(tipp!P62,find(":",tipp!P62)-1)-right(tipp!P62,(len(tipp!P62)-find(":",tipp!P62)))=tipp!$G62-tipp!$H62,pontozas!$B$2,0)+if(tipp!P62=tipp!$F62,pontozas!$B$3),""),"")</f>
        <v/>
      </c>
      <c r="H63">
        <f>if(H$1&lt;&gt;"",iferror(if(if(left(tipp!Q62,find(":",tipp!Q62)-1)&gt;right(tipp!Q62,(len(tipp!Q62)-find(":",tipp!Q62))),1,if(right(tipp!Q62,(len(tipp!Q62)-find(":",tipp!Q62)))&gt;left(tipp!Q62,find(":",tipp!Q62)-1),2,"x"))=tipp!$I62,tipp!$J62*pontozas!$B$1)+if(left(tipp!Q62,find(":",tipp!Q62)-1)-right(tipp!Q62,(len(tipp!Q62)-find(":",tipp!Q62)))=tipp!$G62-tipp!$H62,pontozas!$B$2,0)+if(tipp!Q62=tipp!$F62,pontozas!$B$3),""),"")</f>
        <v>0</v>
      </c>
      <c r="I63" t="str">
        <f>if(I$1&lt;&gt;"",iferror(if(if(left(tipp!R62,find(":",tipp!R62)-1)&gt;right(tipp!R62,(len(tipp!R62)-find(":",tipp!R62))),1,if(right(tipp!R62,(len(tipp!R62)-find(":",tipp!R62)))&gt;left(tipp!R62,find(":",tipp!R62)-1),2,"x"))=tipp!$I62,tipp!$J62*pontozas!$B$1)+if(left(tipp!R62,find(":",tipp!R62)-1)-right(tipp!R62,(len(tipp!R62)-find(":",tipp!R62)))=tipp!$G62-tipp!$H62,pontozas!$B$2,0)+if(tipp!R62=tipp!$F62,pontozas!$B$3),""),"")</f>
        <v/>
      </c>
      <c r="J63" t="str">
        <f>if(J$1&lt;&gt;"",iferror(if(if(left(tipp!S62,find(":",tipp!S62)-1)&gt;right(tipp!S62,(len(tipp!S62)-find(":",tipp!S62))),1,if(right(tipp!S62,(len(tipp!S62)-find(":",tipp!S62)))&gt;left(tipp!S62,find(":",tipp!S62)-1),2,"x"))=tipp!$I62,tipp!$J62*pontozas!$B$1)+if(left(tipp!S62,find(":",tipp!S62)-1)-right(tipp!S62,(len(tipp!S62)-find(":",tipp!S62)))=tipp!$G62-tipp!$H62,pontozas!$B$2,0)+if(tipp!S62=tipp!$F62,pontozas!$B$3),""),"")</f>
        <v/>
      </c>
      <c r="K63" t="str">
        <f>if(K$1&lt;&gt;"",iferror(if(if(left(tipp!T62,find(":",tipp!T62)-1)&gt;right(tipp!T62,(len(tipp!T62)-find(":",tipp!T62))),1,if(right(tipp!T62,(len(tipp!T62)-find(":",tipp!T62)))&gt;left(tipp!T62,find(":",tipp!T62)-1),2,"x"))=tipp!$I62,tipp!$J62*pontozas!$B$1)+if(left(tipp!T62,find(":",tipp!T62)-1)-right(tipp!T62,(len(tipp!T62)-find(":",tipp!T62)))=tipp!$G62-tipp!$H62,pontozas!$B$2,0)+if(tipp!T62=tipp!$F62,pontozas!$B$3),""),"")</f>
        <v/>
      </c>
      <c r="L63" t="str">
        <f>if(L$1&lt;&gt;"",iferror(if(if(left(tipp!U62,find(":",tipp!U62)-1)&gt;right(tipp!U62,(len(tipp!U62)-find(":",tipp!U62))),1,if(right(tipp!U62,(len(tipp!U62)-find(":",tipp!U62)))&gt;left(tipp!U62,find(":",tipp!U62)-1),2,"x"))=tipp!$I62,tipp!$J62*pontozas!$B$1)+if(left(tipp!U62,find(":",tipp!U62)-1)-right(tipp!U62,(len(tipp!U62)-find(":",tipp!U62)))=tipp!$G62-tipp!$H62,pontozas!$B$2,0)+if(tipp!U62=tipp!$F62,pontozas!$B$3),""),"")</f>
        <v/>
      </c>
      <c r="M63" t="str">
        <f>if(M$1&lt;&gt;"",iferror(if(if(left(tipp!V62,find(":",tipp!V62)-1)&gt;right(tipp!V62,(len(tipp!V62)-find(":",tipp!V62))),1,if(right(tipp!V62,(len(tipp!V62)-find(":",tipp!V62)))&gt;left(tipp!V62,find(":",tipp!V62)-1),2,"x"))=tipp!$I62,tipp!$J62*pontozas!$B$1)+if(left(tipp!V62,find(":",tipp!V62)-1)-right(tipp!V62,(len(tipp!V62)-find(":",tipp!V62)))=tipp!$G62-tipp!$H62,pontozas!$B$2,0)+if(tipp!V62=tipp!$F62,pontozas!$B$3),""),"")</f>
        <v/>
      </c>
      <c r="N63" t="str">
        <f>if(N$1&lt;&gt;"",iferror(if(if(left(tipp!W62,find(":",tipp!W62)-1)&gt;right(tipp!W62,(len(tipp!W62)-find(":",tipp!W62))),1,if(right(tipp!W62,(len(tipp!W62)-find(":",tipp!W62)))&gt;left(tipp!W62,find(":",tipp!W62)-1),2,"x"))=tipp!$I62,tipp!$J62*pontozas!$B$1)+if(left(tipp!W62,find(":",tipp!W62)-1)-right(tipp!W62,(len(tipp!W62)-find(":",tipp!W62)))=tipp!$G62-tipp!$H62,pontozas!$B$2,0)+if(tipp!W62=tipp!$F62,pontozas!$B$3),""),"")</f>
        <v/>
      </c>
      <c r="O63" t="str">
        <f>if(O$1&lt;&gt;"",iferror(if(if(left(tipp!X62,find(":",tipp!X62)-1)&gt;right(tipp!X62,(len(tipp!X62)-find(":",tipp!X62))),1,if(right(tipp!X62,(len(tipp!X62)-find(":",tipp!X62)))&gt;left(tipp!X62,find(":",tipp!X62)-1),2,"x"))=tipp!$I62,tipp!$J62*pontozas!$B$1)+if(left(tipp!X62,find(":",tipp!X62)-1)-right(tipp!X62,(len(tipp!X62)-find(":",tipp!X62)))=tipp!$G62-tipp!$H62,pontozas!$B$2,0)+if(tipp!X62=tipp!$F62,pontozas!$B$3),""),"")</f>
        <v/>
      </c>
    </row>
    <row r="64">
      <c r="A64" t="str">
        <f>CONCATENATE(tipp!A63&amp;" : "&amp;tipp!B63)</f>
        <v>Finland : Switzerland</v>
      </c>
      <c r="B64">
        <f>if(B$1&lt;&gt;"",iferror(if(if(left(tipp!K63,find(":",tipp!K63)-1)&gt;right(tipp!K63,(len(tipp!K63)-find(":",tipp!K63))),1,if(right(tipp!K63,(len(tipp!K63)-find(":",tipp!K63)))&gt;left(tipp!K63,find(":",tipp!K63)-1),2,"x"))=tipp!$I63,tipp!$J63*pontozas!$B$1)+if(left(tipp!K63,find(":",tipp!K63)-1)-right(tipp!K63,(len(tipp!K63)-find(":",tipp!K63)))=tipp!$G63-tipp!$H63,pontozas!$B$2,0)+if(tipp!K63=tipp!$F63,pontozas!$B$3),""),"")</f>
        <v>0</v>
      </c>
      <c r="C64">
        <f>if(C$1&lt;&gt;"",iferror(if(if(left(tipp!L63,find(":",tipp!L63)-1)&gt;right(tipp!L63,(len(tipp!L63)-find(":",tipp!L63))),1,if(right(tipp!L63,(len(tipp!L63)-find(":",tipp!L63)))&gt;left(tipp!L63,find(":",tipp!L63)-1),2,"x"))=tipp!$I63,tipp!$J63*pontozas!$B$1)+if(left(tipp!L63,find(":",tipp!L63)-1)-right(tipp!L63,(len(tipp!L63)-find(":",tipp!L63)))=tipp!$G63-tipp!$H63,pontozas!$B$2,0)+if(tipp!L63=tipp!$F63,pontozas!$B$3),""),"")</f>
        <v>0</v>
      </c>
      <c r="D64">
        <f>if(D$1&lt;&gt;"",iferror(if(if(left(tipp!M63,find(":",tipp!M63)-1)&gt;right(tipp!M63,(len(tipp!M63)-find(":",tipp!M63))),1,if(right(tipp!M63,(len(tipp!M63)-find(":",tipp!M63)))&gt;left(tipp!M63,find(":",tipp!M63)-1),2,"x"))=tipp!$I63,tipp!$J63*pontozas!$B$1)+if(left(tipp!M63,find(":",tipp!M63)-1)-right(tipp!M63,(len(tipp!M63)-find(":",tipp!M63)))=tipp!$G63-tipp!$H63,pontozas!$B$2,0)+if(tipp!M63=tipp!$F63,pontozas!$B$3),""),"")</f>
        <v>0</v>
      </c>
      <c r="E64">
        <f>if(E$1&lt;&gt;"",iferror(if(if(left(tipp!N63,find(":",tipp!N63)-1)&gt;right(tipp!N63,(len(tipp!N63)-find(":",tipp!N63))),1,if(right(tipp!N63,(len(tipp!N63)-find(":",tipp!N63)))&gt;left(tipp!N63,find(":",tipp!N63)-1),2,"x"))=tipp!$I63,tipp!$J63*pontozas!$B$1)+if(left(tipp!N63,find(":",tipp!N63)-1)-right(tipp!N63,(len(tipp!N63)-find(":",tipp!N63)))=tipp!$G63-tipp!$H63,pontozas!$B$2,0)+if(tipp!N63=tipp!$F63,pontozas!$B$3),""),"")</f>
        <v>0</v>
      </c>
      <c r="F64">
        <f>if(F$1&lt;&gt;"",iferror(if(if(left(tipp!O63,find(":",tipp!O63)-1)&gt;right(tipp!O63,(len(tipp!O63)-find(":",tipp!O63))),1,if(right(tipp!O63,(len(tipp!O63)-find(":",tipp!O63)))&gt;left(tipp!O63,find(":",tipp!O63)-1),2,"x"))=tipp!$I63,tipp!$J63*pontozas!$B$1)+if(left(tipp!O63,find(":",tipp!O63)-1)-right(tipp!O63,(len(tipp!O63)-find(":",tipp!O63)))=tipp!$G63-tipp!$H63,pontozas!$B$2,0)+if(tipp!O63=tipp!$F63,pontozas!$B$3),""),"")</f>
        <v>0</v>
      </c>
      <c r="G64" t="str">
        <f>if(G$1&lt;&gt;"",iferror(if(if(left(tipp!P63,find(":",tipp!P63)-1)&gt;right(tipp!P63,(len(tipp!P63)-find(":",tipp!P63))),1,if(right(tipp!P63,(len(tipp!P63)-find(":",tipp!P63)))&gt;left(tipp!P63,find(":",tipp!P63)-1),2,"x"))=tipp!$I63,tipp!$J63*pontozas!$B$1)+if(left(tipp!P63,find(":",tipp!P63)-1)-right(tipp!P63,(len(tipp!P63)-find(":",tipp!P63)))=tipp!$G63-tipp!$H63,pontozas!$B$2,0)+if(tipp!P63=tipp!$F63,pontozas!$B$3),""),"")</f>
        <v/>
      </c>
      <c r="H64">
        <f>if(H$1&lt;&gt;"",iferror(if(if(left(tipp!Q63,find(":",tipp!Q63)-1)&gt;right(tipp!Q63,(len(tipp!Q63)-find(":",tipp!Q63))),1,if(right(tipp!Q63,(len(tipp!Q63)-find(":",tipp!Q63)))&gt;left(tipp!Q63,find(":",tipp!Q63)-1),2,"x"))=tipp!$I63,tipp!$J63*pontozas!$B$1)+if(left(tipp!Q63,find(":",tipp!Q63)-1)-right(tipp!Q63,(len(tipp!Q63)-find(":",tipp!Q63)))=tipp!$G63-tipp!$H63,pontozas!$B$2,0)+if(tipp!Q63=tipp!$F63,pontozas!$B$3),""),"")</f>
        <v>0</v>
      </c>
      <c r="I64" t="str">
        <f>if(I$1&lt;&gt;"",iferror(if(if(left(tipp!R63,find(":",tipp!R63)-1)&gt;right(tipp!R63,(len(tipp!R63)-find(":",tipp!R63))),1,if(right(tipp!R63,(len(tipp!R63)-find(":",tipp!R63)))&gt;left(tipp!R63,find(":",tipp!R63)-1),2,"x"))=tipp!$I63,tipp!$J63*pontozas!$B$1)+if(left(tipp!R63,find(":",tipp!R63)-1)-right(tipp!R63,(len(tipp!R63)-find(":",tipp!R63)))=tipp!$G63-tipp!$H63,pontozas!$B$2,0)+if(tipp!R63=tipp!$F63,pontozas!$B$3),""),"")</f>
        <v/>
      </c>
      <c r="J64" t="str">
        <f>if(J$1&lt;&gt;"",iferror(if(if(left(tipp!S63,find(":",tipp!S63)-1)&gt;right(tipp!S63,(len(tipp!S63)-find(":",tipp!S63))),1,if(right(tipp!S63,(len(tipp!S63)-find(":",tipp!S63)))&gt;left(tipp!S63,find(":",tipp!S63)-1),2,"x"))=tipp!$I63,tipp!$J63*pontozas!$B$1)+if(left(tipp!S63,find(":",tipp!S63)-1)-right(tipp!S63,(len(tipp!S63)-find(":",tipp!S63)))=tipp!$G63-tipp!$H63,pontozas!$B$2,0)+if(tipp!S63=tipp!$F63,pontozas!$B$3),""),"")</f>
        <v/>
      </c>
      <c r="K64" t="str">
        <f>if(K$1&lt;&gt;"",iferror(if(if(left(tipp!T63,find(":",tipp!T63)-1)&gt;right(tipp!T63,(len(tipp!T63)-find(":",tipp!T63))),1,if(right(tipp!T63,(len(tipp!T63)-find(":",tipp!T63)))&gt;left(tipp!T63,find(":",tipp!T63)-1),2,"x"))=tipp!$I63,tipp!$J63*pontozas!$B$1)+if(left(tipp!T63,find(":",tipp!T63)-1)-right(tipp!T63,(len(tipp!T63)-find(":",tipp!T63)))=tipp!$G63-tipp!$H63,pontozas!$B$2,0)+if(tipp!T63=tipp!$F63,pontozas!$B$3),""),"")</f>
        <v/>
      </c>
      <c r="L64" t="str">
        <f>if(L$1&lt;&gt;"",iferror(if(if(left(tipp!U63,find(":",tipp!U63)-1)&gt;right(tipp!U63,(len(tipp!U63)-find(":",tipp!U63))),1,if(right(tipp!U63,(len(tipp!U63)-find(":",tipp!U63)))&gt;left(tipp!U63,find(":",tipp!U63)-1),2,"x"))=tipp!$I63,tipp!$J63*pontozas!$B$1)+if(left(tipp!U63,find(":",tipp!U63)-1)-right(tipp!U63,(len(tipp!U63)-find(":",tipp!U63)))=tipp!$G63-tipp!$H63,pontozas!$B$2,0)+if(tipp!U63=tipp!$F63,pontozas!$B$3),""),"")</f>
        <v/>
      </c>
      <c r="M64" t="str">
        <f>if(M$1&lt;&gt;"",iferror(if(if(left(tipp!V63,find(":",tipp!V63)-1)&gt;right(tipp!V63,(len(tipp!V63)-find(":",tipp!V63))),1,if(right(tipp!V63,(len(tipp!V63)-find(":",tipp!V63)))&gt;left(tipp!V63,find(":",tipp!V63)-1),2,"x"))=tipp!$I63,tipp!$J63*pontozas!$B$1)+if(left(tipp!V63,find(":",tipp!V63)-1)-right(tipp!V63,(len(tipp!V63)-find(":",tipp!V63)))=tipp!$G63-tipp!$H63,pontozas!$B$2,0)+if(tipp!V63=tipp!$F63,pontozas!$B$3),""),"")</f>
        <v/>
      </c>
      <c r="N64" t="str">
        <f>if(N$1&lt;&gt;"",iferror(if(if(left(tipp!W63,find(":",tipp!W63)-1)&gt;right(tipp!W63,(len(tipp!W63)-find(":",tipp!W63))),1,if(right(tipp!W63,(len(tipp!W63)-find(":",tipp!W63)))&gt;left(tipp!W63,find(":",tipp!W63)-1),2,"x"))=tipp!$I63,tipp!$J63*pontozas!$B$1)+if(left(tipp!W63,find(":",tipp!W63)-1)-right(tipp!W63,(len(tipp!W63)-find(":",tipp!W63)))=tipp!$G63-tipp!$H63,pontozas!$B$2,0)+if(tipp!W63=tipp!$F63,pontozas!$B$3),""),"")</f>
        <v/>
      </c>
      <c r="O64" t="str">
        <f>if(O$1&lt;&gt;"",iferror(if(if(left(tipp!X63,find(":",tipp!X63)-1)&gt;right(tipp!X63,(len(tipp!X63)-find(":",tipp!X63))),1,if(right(tipp!X63,(len(tipp!X63)-find(":",tipp!X63)))&gt;left(tipp!X63,find(":",tipp!X63)-1),2,"x"))=tipp!$I63,tipp!$J63*pontozas!$B$1)+if(left(tipp!X63,find(":",tipp!X63)-1)-right(tipp!X63,(len(tipp!X63)-find(":",tipp!X63)))=tipp!$G63-tipp!$H63,pontozas!$B$2,0)+if(tipp!X63=tipp!$F63,pontozas!$B$3),""),"")</f>
        <v/>
      </c>
    </row>
    <row r="65">
      <c r="A65" t="str">
        <f>CONCATENATE(tipp!A64&amp;" : "&amp;tipp!B64)</f>
        <v>Sweden : Latvia</v>
      </c>
      <c r="B65">
        <f>if(B$1&lt;&gt;"",iferror(if(if(left(tipp!K64,find(":",tipp!K64)-1)&gt;right(tipp!K64,(len(tipp!K64)-find(":",tipp!K64))),1,if(right(tipp!K64,(len(tipp!K64)-find(":",tipp!K64)))&gt;left(tipp!K64,find(":",tipp!K64)-1),2,"x"))=tipp!$I64,tipp!$J64*pontozas!$B$1)+if(left(tipp!K64,find(":",tipp!K64)-1)-right(tipp!K64,(len(tipp!K64)-find(":",tipp!K64)))=tipp!$G64-tipp!$H64,pontozas!$B$2,0)+if(tipp!K64=tipp!$F64,pontozas!$B$3),""),"")</f>
        <v>0</v>
      </c>
      <c r="C65">
        <f>if(C$1&lt;&gt;"",iferror(if(if(left(tipp!L64,find(":",tipp!L64)-1)&gt;right(tipp!L64,(len(tipp!L64)-find(":",tipp!L64))),1,if(right(tipp!L64,(len(tipp!L64)-find(":",tipp!L64)))&gt;left(tipp!L64,find(":",tipp!L64)-1),2,"x"))=tipp!$I64,tipp!$J64*pontozas!$B$1)+if(left(tipp!L64,find(":",tipp!L64)-1)-right(tipp!L64,(len(tipp!L64)-find(":",tipp!L64)))=tipp!$G64-tipp!$H64,pontozas!$B$2,0)+if(tipp!L64=tipp!$F64,pontozas!$B$3),""),"")</f>
        <v>1.09</v>
      </c>
      <c r="D65">
        <f>if(D$1&lt;&gt;"",iferror(if(if(left(tipp!M64,find(":",tipp!M64)-1)&gt;right(tipp!M64,(len(tipp!M64)-find(":",tipp!M64))),1,if(right(tipp!M64,(len(tipp!M64)-find(":",tipp!M64)))&gt;left(tipp!M64,find(":",tipp!M64)-1),2,"x"))=tipp!$I64,tipp!$J64*pontozas!$B$1)+if(left(tipp!M64,find(":",tipp!M64)-1)-right(tipp!M64,(len(tipp!M64)-find(":",tipp!M64)))=tipp!$G64-tipp!$H64,pontozas!$B$2,0)+if(tipp!M64=tipp!$F64,pontozas!$B$3),""),"")</f>
        <v>1.09</v>
      </c>
      <c r="E65">
        <f>if(E$1&lt;&gt;"",iferror(if(if(left(tipp!N64,find(":",tipp!N64)-1)&gt;right(tipp!N64,(len(tipp!N64)-find(":",tipp!N64))),1,if(right(tipp!N64,(len(tipp!N64)-find(":",tipp!N64)))&gt;left(tipp!N64,find(":",tipp!N64)-1),2,"x"))=tipp!$I64,tipp!$J64*pontozas!$B$1)+if(left(tipp!N64,find(":",tipp!N64)-1)-right(tipp!N64,(len(tipp!N64)-find(":",tipp!N64)))=tipp!$G64-tipp!$H64,pontozas!$B$2,0)+if(tipp!N64=tipp!$F64,pontozas!$B$3),""),"")</f>
        <v>1.09</v>
      </c>
      <c r="F65">
        <f>if(F$1&lt;&gt;"",iferror(if(if(left(tipp!O64,find(":",tipp!O64)-1)&gt;right(tipp!O64,(len(tipp!O64)-find(":",tipp!O64))),1,if(right(tipp!O64,(len(tipp!O64)-find(":",tipp!O64)))&gt;left(tipp!O64,find(":",tipp!O64)-1),2,"x"))=tipp!$I64,tipp!$J64*pontozas!$B$1)+if(left(tipp!O64,find(":",tipp!O64)-1)-right(tipp!O64,(len(tipp!O64)-find(":",tipp!O64)))=tipp!$G64-tipp!$H64,pontozas!$B$2,0)+if(tipp!O64=tipp!$F64,pontozas!$B$3),""),"")</f>
        <v>1.09</v>
      </c>
      <c r="G65" t="str">
        <f>if(G$1&lt;&gt;"",iferror(if(if(left(tipp!P64,find(":",tipp!P64)-1)&gt;right(tipp!P64,(len(tipp!P64)-find(":",tipp!P64))),1,if(right(tipp!P64,(len(tipp!P64)-find(":",tipp!P64)))&gt;left(tipp!P64,find(":",tipp!P64)-1),2,"x"))=tipp!$I64,tipp!$J64*pontozas!$B$1)+if(left(tipp!P64,find(":",tipp!P64)-1)-right(tipp!P64,(len(tipp!P64)-find(":",tipp!P64)))=tipp!$G64-tipp!$H64,pontozas!$B$2,0)+if(tipp!P64=tipp!$F64,pontozas!$B$3),""),"")</f>
        <v/>
      </c>
      <c r="H65">
        <f>if(H$1&lt;&gt;"",iferror(if(if(left(tipp!Q64,find(":",tipp!Q64)-1)&gt;right(tipp!Q64,(len(tipp!Q64)-find(":",tipp!Q64))),1,if(right(tipp!Q64,(len(tipp!Q64)-find(":",tipp!Q64)))&gt;left(tipp!Q64,find(":",tipp!Q64)-1),2,"x"))=tipp!$I64,tipp!$J64*pontozas!$B$1)+if(left(tipp!Q64,find(":",tipp!Q64)-1)-right(tipp!Q64,(len(tipp!Q64)-find(":",tipp!Q64)))=tipp!$G64-tipp!$H64,pontozas!$B$2,0)+if(tipp!Q64=tipp!$F64,pontozas!$B$3),""),"")</f>
        <v>1.09</v>
      </c>
      <c r="I65" t="str">
        <f>if(I$1&lt;&gt;"",iferror(if(if(left(tipp!R64,find(":",tipp!R64)-1)&gt;right(tipp!R64,(len(tipp!R64)-find(":",tipp!R64))),1,if(right(tipp!R64,(len(tipp!R64)-find(":",tipp!R64)))&gt;left(tipp!R64,find(":",tipp!R64)-1),2,"x"))=tipp!$I64,tipp!$J64*pontozas!$B$1)+if(left(tipp!R64,find(":",tipp!R64)-1)-right(tipp!R64,(len(tipp!R64)-find(":",tipp!R64)))=tipp!$G64-tipp!$H64,pontozas!$B$2,0)+if(tipp!R64=tipp!$F64,pontozas!$B$3),""),"")</f>
        <v/>
      </c>
      <c r="J65" t="str">
        <f>if(J$1&lt;&gt;"",iferror(if(if(left(tipp!S64,find(":",tipp!S64)-1)&gt;right(tipp!S64,(len(tipp!S64)-find(":",tipp!S64))),1,if(right(tipp!S64,(len(tipp!S64)-find(":",tipp!S64)))&gt;left(tipp!S64,find(":",tipp!S64)-1),2,"x"))=tipp!$I64,tipp!$J64*pontozas!$B$1)+if(left(tipp!S64,find(":",tipp!S64)-1)-right(tipp!S64,(len(tipp!S64)-find(":",tipp!S64)))=tipp!$G64-tipp!$H64,pontozas!$B$2,0)+if(tipp!S64=tipp!$F64,pontozas!$B$3),""),"")</f>
        <v/>
      </c>
      <c r="K65" t="str">
        <f>if(K$1&lt;&gt;"",iferror(if(if(left(tipp!T64,find(":",tipp!T64)-1)&gt;right(tipp!T64,(len(tipp!T64)-find(":",tipp!T64))),1,if(right(tipp!T64,(len(tipp!T64)-find(":",tipp!T64)))&gt;left(tipp!T64,find(":",tipp!T64)-1),2,"x"))=tipp!$I64,tipp!$J64*pontozas!$B$1)+if(left(tipp!T64,find(":",tipp!T64)-1)-right(tipp!T64,(len(tipp!T64)-find(":",tipp!T64)))=tipp!$G64-tipp!$H64,pontozas!$B$2,0)+if(tipp!T64=tipp!$F64,pontozas!$B$3),""),"")</f>
        <v/>
      </c>
      <c r="L65" t="str">
        <f>if(L$1&lt;&gt;"",iferror(if(if(left(tipp!U64,find(":",tipp!U64)-1)&gt;right(tipp!U64,(len(tipp!U64)-find(":",tipp!U64))),1,if(right(tipp!U64,(len(tipp!U64)-find(":",tipp!U64)))&gt;left(tipp!U64,find(":",tipp!U64)-1),2,"x"))=tipp!$I64,tipp!$J64*pontozas!$B$1)+if(left(tipp!U64,find(":",tipp!U64)-1)-right(tipp!U64,(len(tipp!U64)-find(":",tipp!U64)))=tipp!$G64-tipp!$H64,pontozas!$B$2,0)+if(tipp!U64=tipp!$F64,pontozas!$B$3),""),"")</f>
        <v/>
      </c>
      <c r="M65" t="str">
        <f>if(M$1&lt;&gt;"",iferror(if(if(left(tipp!V64,find(":",tipp!V64)-1)&gt;right(tipp!V64,(len(tipp!V64)-find(":",tipp!V64))),1,if(right(tipp!V64,(len(tipp!V64)-find(":",tipp!V64)))&gt;left(tipp!V64,find(":",tipp!V64)-1),2,"x"))=tipp!$I64,tipp!$J64*pontozas!$B$1)+if(left(tipp!V64,find(":",tipp!V64)-1)-right(tipp!V64,(len(tipp!V64)-find(":",tipp!V64)))=tipp!$G64-tipp!$H64,pontozas!$B$2,0)+if(tipp!V64=tipp!$F64,pontozas!$B$3),""),"")</f>
        <v/>
      </c>
      <c r="N65" t="str">
        <f>if(N$1&lt;&gt;"",iferror(if(if(left(tipp!W64,find(":",tipp!W64)-1)&gt;right(tipp!W64,(len(tipp!W64)-find(":",tipp!W64))),1,if(right(tipp!W64,(len(tipp!W64)-find(":",tipp!W64)))&gt;left(tipp!W64,find(":",tipp!W64)-1),2,"x"))=tipp!$I64,tipp!$J64*pontozas!$B$1)+if(left(tipp!W64,find(":",tipp!W64)-1)-right(tipp!W64,(len(tipp!W64)-find(":",tipp!W64)))=tipp!$G64-tipp!$H64,pontozas!$B$2,0)+if(tipp!W64=tipp!$F64,pontozas!$B$3),""),"")</f>
        <v/>
      </c>
      <c r="O65" t="str">
        <f>if(O$1&lt;&gt;"",iferror(if(if(left(tipp!X64,find(":",tipp!X64)-1)&gt;right(tipp!X64,(len(tipp!X64)-find(":",tipp!X64))),1,if(right(tipp!X64,(len(tipp!X64)-find(":",tipp!X64)))&gt;left(tipp!X64,find(":",tipp!X64)-1),2,"x"))=tipp!$I64,tipp!$J64*pontozas!$B$1)+if(left(tipp!X64,find(":",tipp!X64)-1)-right(tipp!X64,(len(tipp!X64)-find(":",tipp!X64)))=tipp!$G64-tipp!$H64,pontozas!$B$2,0)+if(tipp!X64=tipp!$F64,pontozas!$B$3),""),"")</f>
        <v/>
      </c>
    </row>
    <row r="66">
      <c r="A66" t="str">
        <f>CONCATENATE(tipp!A65&amp;" : "&amp;tipp!B65)</f>
        <v>Sweden : United States</v>
      </c>
      <c r="B66">
        <f>if(B$1&lt;&gt;"",iferror(if(if(left(tipp!K65,find(":",tipp!K65)-1)&gt;right(tipp!K65,(len(tipp!K65)-find(":",tipp!K65))),1,if(right(tipp!K65,(len(tipp!K65)-find(":",tipp!K65)))&gt;left(tipp!K65,find(":",tipp!K65)-1),2,"x"))=tipp!$I65,tipp!$J65*pontozas!$B$1)+if(left(tipp!K65,find(":",tipp!K65)-1)-right(tipp!K65,(len(tipp!K65)-find(":",tipp!K65)))=tipp!$G65-tipp!$H65,pontozas!$B$2,0)+if(tipp!K65=tipp!$F65,pontozas!$B$3),""),"")</f>
        <v>0</v>
      </c>
      <c r="C66">
        <f>if(C$1&lt;&gt;"",iferror(if(if(left(tipp!L65,find(":",tipp!L65)-1)&gt;right(tipp!L65,(len(tipp!L65)-find(":",tipp!L65))),1,if(right(tipp!L65,(len(tipp!L65)-find(":",tipp!L65)))&gt;left(tipp!L65,find(":",tipp!L65)-1),2,"x"))=tipp!$I65,tipp!$J65*pontozas!$B$1)+if(left(tipp!L65,find(":",tipp!L65)-1)-right(tipp!L65,(len(tipp!L65)-find(":",tipp!L65)))=tipp!$G65-tipp!$H65,pontozas!$B$2,0)+if(tipp!L65=tipp!$F65,pontozas!$B$3),""),"")</f>
        <v>0</v>
      </c>
      <c r="D66">
        <f>if(D$1&lt;&gt;"",iferror(if(if(left(tipp!M65,find(":",tipp!M65)-1)&gt;right(tipp!M65,(len(tipp!M65)-find(":",tipp!M65))),1,if(right(tipp!M65,(len(tipp!M65)-find(":",tipp!M65)))&gt;left(tipp!M65,find(":",tipp!M65)-1),2,"x"))=tipp!$I65,tipp!$J65*pontozas!$B$1)+if(left(tipp!M65,find(":",tipp!M65)-1)-right(tipp!M65,(len(tipp!M65)-find(":",tipp!M65)))=tipp!$G65-tipp!$H65,pontozas!$B$2,0)+if(tipp!M65=tipp!$F65,pontozas!$B$3),""),"")</f>
        <v>2.05</v>
      </c>
      <c r="E66">
        <f>if(E$1&lt;&gt;"",iferror(if(if(left(tipp!N65,find(":",tipp!N65)-1)&gt;right(tipp!N65,(len(tipp!N65)-find(":",tipp!N65))),1,if(right(tipp!N65,(len(tipp!N65)-find(":",tipp!N65)))&gt;left(tipp!N65,find(":",tipp!N65)-1),2,"x"))=tipp!$I65,tipp!$J65*pontozas!$B$1)+if(left(tipp!N65,find(":",tipp!N65)-1)-right(tipp!N65,(len(tipp!N65)-find(":",tipp!N65)))=tipp!$G65-tipp!$H65,pontozas!$B$2,0)+if(tipp!N65=tipp!$F65,pontozas!$B$3),""),"")</f>
        <v>2.05</v>
      </c>
      <c r="F66">
        <f>if(F$1&lt;&gt;"",iferror(if(if(left(tipp!O65,find(":",tipp!O65)-1)&gt;right(tipp!O65,(len(tipp!O65)-find(":",tipp!O65))),1,if(right(tipp!O65,(len(tipp!O65)-find(":",tipp!O65)))&gt;left(tipp!O65,find(":",tipp!O65)-1),2,"x"))=tipp!$I65,tipp!$J65*pontozas!$B$1)+if(left(tipp!O65,find(":",tipp!O65)-1)-right(tipp!O65,(len(tipp!O65)-find(":",tipp!O65)))=tipp!$G65-tipp!$H65,pontozas!$B$2,0)+if(tipp!O65=tipp!$F65,pontozas!$B$3),""),"")</f>
        <v>0</v>
      </c>
      <c r="G66" t="str">
        <f>if(G$1&lt;&gt;"",iferror(if(if(left(tipp!P65,find(":",tipp!P65)-1)&gt;right(tipp!P65,(len(tipp!P65)-find(":",tipp!P65))),1,if(right(tipp!P65,(len(tipp!P65)-find(":",tipp!P65)))&gt;left(tipp!P65,find(":",tipp!P65)-1),2,"x"))=tipp!$I65,tipp!$J65*pontozas!$B$1)+if(left(tipp!P65,find(":",tipp!P65)-1)-right(tipp!P65,(len(tipp!P65)-find(":",tipp!P65)))=tipp!$G65-tipp!$H65,pontozas!$B$2,0)+if(tipp!P65=tipp!$F65,pontozas!$B$3),""),"")</f>
        <v/>
      </c>
      <c r="H66" t="str">
        <f>if(H$1&lt;&gt;"",iferror(if(if(left(tipp!Q65,find(":",tipp!Q65)-1)&gt;right(tipp!Q65,(len(tipp!Q65)-find(":",tipp!Q65))),1,if(right(tipp!Q65,(len(tipp!Q65)-find(":",tipp!Q65)))&gt;left(tipp!Q65,find(":",tipp!Q65)-1),2,"x"))=tipp!$I65,tipp!$J65*pontozas!$B$1)+if(left(tipp!Q65,find(":",tipp!Q65)-1)-right(tipp!Q65,(len(tipp!Q65)-find(":",tipp!Q65)))=tipp!$G65-tipp!$H65,pontozas!$B$2,0)+if(tipp!Q65=tipp!$F65,pontozas!$B$3),""),"")</f>
        <v/>
      </c>
      <c r="I66" t="str">
        <f>if(I$1&lt;&gt;"",iferror(if(if(left(tipp!R65,find(":",tipp!R65)-1)&gt;right(tipp!R65,(len(tipp!R65)-find(":",tipp!R65))),1,if(right(tipp!R65,(len(tipp!R65)-find(":",tipp!R65)))&gt;left(tipp!R65,find(":",tipp!R65)-1),2,"x"))=tipp!$I65,tipp!$J65*pontozas!$B$1)+if(left(tipp!R65,find(":",tipp!R65)-1)-right(tipp!R65,(len(tipp!R65)-find(":",tipp!R65)))=tipp!$G65-tipp!$H65,pontozas!$B$2,0)+if(tipp!R65=tipp!$F65,pontozas!$B$3),""),"")</f>
        <v/>
      </c>
      <c r="J66" t="str">
        <f>if(J$1&lt;&gt;"",iferror(if(if(left(tipp!S65,find(":",tipp!S65)-1)&gt;right(tipp!S65,(len(tipp!S65)-find(":",tipp!S65))),1,if(right(tipp!S65,(len(tipp!S65)-find(":",tipp!S65)))&gt;left(tipp!S65,find(":",tipp!S65)-1),2,"x"))=tipp!$I65,tipp!$J65*pontozas!$B$1)+if(left(tipp!S65,find(":",tipp!S65)-1)-right(tipp!S65,(len(tipp!S65)-find(":",tipp!S65)))=tipp!$G65-tipp!$H65,pontozas!$B$2,0)+if(tipp!S65=tipp!$F65,pontozas!$B$3),""),"")</f>
        <v/>
      </c>
      <c r="K66" t="str">
        <f>if(K$1&lt;&gt;"",iferror(if(if(left(tipp!T65,find(":",tipp!T65)-1)&gt;right(tipp!T65,(len(tipp!T65)-find(":",tipp!T65))),1,if(right(tipp!T65,(len(tipp!T65)-find(":",tipp!T65)))&gt;left(tipp!T65,find(":",tipp!T65)-1),2,"x"))=tipp!$I65,tipp!$J65*pontozas!$B$1)+if(left(tipp!T65,find(":",tipp!T65)-1)-right(tipp!T65,(len(tipp!T65)-find(":",tipp!T65)))=tipp!$G65-tipp!$H65,pontozas!$B$2,0)+if(tipp!T65=tipp!$F65,pontozas!$B$3),""),"")</f>
        <v/>
      </c>
      <c r="L66" t="str">
        <f>if(L$1&lt;&gt;"",iferror(if(if(left(tipp!U65,find(":",tipp!U65)-1)&gt;right(tipp!U65,(len(tipp!U65)-find(":",tipp!U65))),1,if(right(tipp!U65,(len(tipp!U65)-find(":",tipp!U65)))&gt;left(tipp!U65,find(":",tipp!U65)-1),2,"x"))=tipp!$I65,tipp!$J65*pontozas!$B$1)+if(left(tipp!U65,find(":",tipp!U65)-1)-right(tipp!U65,(len(tipp!U65)-find(":",tipp!U65)))=tipp!$G65-tipp!$H65,pontozas!$B$2,0)+if(tipp!U65=tipp!$F65,pontozas!$B$3),""),"")</f>
        <v/>
      </c>
      <c r="M66" t="str">
        <f>if(M$1&lt;&gt;"",iferror(if(if(left(tipp!V65,find(":",tipp!V65)-1)&gt;right(tipp!V65,(len(tipp!V65)-find(":",tipp!V65))),1,if(right(tipp!V65,(len(tipp!V65)-find(":",tipp!V65)))&gt;left(tipp!V65,find(":",tipp!V65)-1),2,"x"))=tipp!$I65,tipp!$J65*pontozas!$B$1)+if(left(tipp!V65,find(":",tipp!V65)-1)-right(tipp!V65,(len(tipp!V65)-find(":",tipp!V65)))=tipp!$G65-tipp!$H65,pontozas!$B$2,0)+if(tipp!V65=tipp!$F65,pontozas!$B$3),""),"")</f>
        <v/>
      </c>
      <c r="N66" t="str">
        <f>if(N$1&lt;&gt;"",iferror(if(if(left(tipp!W65,find(":",tipp!W65)-1)&gt;right(tipp!W65,(len(tipp!W65)-find(":",tipp!W65))),1,if(right(tipp!W65,(len(tipp!W65)-find(":",tipp!W65)))&gt;left(tipp!W65,find(":",tipp!W65)-1),2,"x"))=tipp!$I65,tipp!$J65*pontozas!$B$1)+if(left(tipp!W65,find(":",tipp!W65)-1)-right(tipp!W65,(len(tipp!W65)-find(":",tipp!W65)))=tipp!$G65-tipp!$H65,pontozas!$B$2,0)+if(tipp!W65=tipp!$F65,pontozas!$B$3),""),"")</f>
        <v/>
      </c>
      <c r="O66" t="str">
        <f>if(O$1&lt;&gt;"",iferror(if(if(left(tipp!X65,find(":",tipp!X65)-1)&gt;right(tipp!X65,(len(tipp!X65)-find(":",tipp!X65))),1,if(right(tipp!X65,(len(tipp!X65)-find(":",tipp!X65)))&gt;left(tipp!X65,find(":",tipp!X65)-1),2,"x"))=tipp!$I65,tipp!$J65*pontozas!$B$1)+if(left(tipp!X65,find(":",tipp!X65)-1)-right(tipp!X65,(len(tipp!X65)-find(":",tipp!X65)))=tipp!$G65-tipp!$H65,pontozas!$B$2,0)+if(tipp!X65=tipp!$F65,pontozas!$B$3),""),"")</f>
        <v/>
      </c>
    </row>
    <row r="67">
      <c r="A67" t="str">
        <f>CONCATENATE(tipp!A66&amp;" : "&amp;tipp!B66)</f>
        <v>Canada : Switzerland</v>
      </c>
      <c r="B67">
        <f>if(B$1&lt;&gt;"",iferror(if(if(left(tipp!K66,find(":",tipp!K66)-1)&gt;right(tipp!K66,(len(tipp!K66)-find(":",tipp!K66))),1,if(right(tipp!K66,(len(tipp!K66)-find(":",tipp!K66)))&gt;left(tipp!K66,find(":",tipp!K66)-1),2,"x"))=tipp!$I66,tipp!$J66*pontozas!$B$1)+if(left(tipp!K66,find(":",tipp!K66)-1)-right(tipp!K66,(len(tipp!K66)-find(":",tipp!K66)))=tipp!$G66-tipp!$H66,pontozas!$B$2,0)+if(tipp!K66=tipp!$F66,pontozas!$B$3),""),"")</f>
        <v>5.25</v>
      </c>
      <c r="C67">
        <f>if(C$1&lt;&gt;"",iferror(if(if(left(tipp!L66,find(":",tipp!L66)-1)&gt;right(tipp!L66,(len(tipp!L66)-find(":",tipp!L66))),1,if(right(tipp!L66,(len(tipp!L66)-find(":",tipp!L66)))&gt;left(tipp!L66,find(":",tipp!L66)-1),2,"x"))=tipp!$I66,tipp!$J66*pontozas!$B$1)+if(left(tipp!L66,find(":",tipp!L66)-1)-right(tipp!L66,(len(tipp!L66)-find(":",tipp!L66)))=tipp!$G66-tipp!$H66,pontozas!$B$2,0)+if(tipp!L66=tipp!$F66,pontozas!$B$3),""),"")</f>
        <v>6.25</v>
      </c>
      <c r="D67">
        <f>if(D$1&lt;&gt;"",iferror(if(if(left(tipp!M66,find(":",tipp!M66)-1)&gt;right(tipp!M66,(len(tipp!M66)-find(":",tipp!M66))),1,if(right(tipp!M66,(len(tipp!M66)-find(":",tipp!M66)))&gt;left(tipp!M66,find(":",tipp!M66)-1),2,"x"))=tipp!$I66,tipp!$J66*pontozas!$B$1)+if(left(tipp!M66,find(":",tipp!M66)-1)-right(tipp!M66,(len(tipp!M66)-find(":",tipp!M66)))=tipp!$G66-tipp!$H66,pontozas!$B$2,0)+if(tipp!M66=tipp!$F66,pontozas!$B$3),""),"")</f>
        <v>0</v>
      </c>
      <c r="E67">
        <f>if(E$1&lt;&gt;"",iferror(if(if(left(tipp!N66,find(":",tipp!N66)-1)&gt;right(tipp!N66,(len(tipp!N66)-find(":",tipp!N66))),1,if(right(tipp!N66,(len(tipp!N66)-find(":",tipp!N66)))&gt;left(tipp!N66,find(":",tipp!N66)-1),2,"x"))=tipp!$I66,tipp!$J66*pontozas!$B$1)+if(left(tipp!N66,find(":",tipp!N66)-1)-right(tipp!N66,(len(tipp!N66)-find(":",tipp!N66)))=tipp!$G66-tipp!$H66,pontozas!$B$2,0)+if(tipp!N66=tipp!$F66,pontozas!$B$3),""),"")</f>
        <v>7.25</v>
      </c>
      <c r="F67">
        <f>if(F$1&lt;&gt;"",iferror(if(if(left(tipp!O66,find(":",tipp!O66)-1)&gt;right(tipp!O66,(len(tipp!O66)-find(":",tipp!O66))),1,if(right(tipp!O66,(len(tipp!O66)-find(":",tipp!O66)))&gt;left(tipp!O66,find(":",tipp!O66)-1),2,"x"))=tipp!$I66,tipp!$J66*pontozas!$B$1)+if(left(tipp!O66,find(":",tipp!O66)-1)-right(tipp!O66,(len(tipp!O66)-find(":",tipp!O66)))=tipp!$G66-tipp!$H66,pontozas!$B$2,0)+if(tipp!O66=tipp!$F66,pontozas!$B$3),""),"")</f>
        <v>0</v>
      </c>
      <c r="G67" t="str">
        <f>if(G$1&lt;&gt;"",iferror(if(if(left(tipp!P66,find(":",tipp!P66)-1)&gt;right(tipp!P66,(len(tipp!P66)-find(":",tipp!P66))),1,if(right(tipp!P66,(len(tipp!P66)-find(":",tipp!P66)))&gt;left(tipp!P66,find(":",tipp!P66)-1),2,"x"))=tipp!$I66,tipp!$J66*pontozas!$B$1)+if(left(tipp!P66,find(":",tipp!P66)-1)-right(tipp!P66,(len(tipp!P66)-find(":",tipp!P66)))=tipp!$G66-tipp!$H66,pontozas!$B$2,0)+if(tipp!P66=tipp!$F66,pontozas!$B$3),""),"")</f>
        <v/>
      </c>
      <c r="H67" t="str">
        <f>if(H$1&lt;&gt;"",iferror(if(if(left(tipp!Q66,find(":",tipp!Q66)-1)&gt;right(tipp!Q66,(len(tipp!Q66)-find(":",tipp!Q66))),1,if(right(tipp!Q66,(len(tipp!Q66)-find(":",tipp!Q66)))&gt;left(tipp!Q66,find(":",tipp!Q66)-1),2,"x"))=tipp!$I66,tipp!$J66*pontozas!$B$1)+if(left(tipp!Q66,find(":",tipp!Q66)-1)-right(tipp!Q66,(len(tipp!Q66)-find(":",tipp!Q66)))=tipp!$G66-tipp!$H66,pontozas!$B$2,0)+if(tipp!Q66=tipp!$F66,pontozas!$B$3),""),"")</f>
        <v/>
      </c>
      <c r="I67" t="str">
        <f>if(I$1&lt;&gt;"",iferror(if(if(left(tipp!R66,find(":",tipp!R66)-1)&gt;right(tipp!R66,(len(tipp!R66)-find(":",tipp!R66))),1,if(right(tipp!R66,(len(tipp!R66)-find(":",tipp!R66)))&gt;left(tipp!R66,find(":",tipp!R66)-1),2,"x"))=tipp!$I66,tipp!$J66*pontozas!$B$1)+if(left(tipp!R66,find(":",tipp!R66)-1)-right(tipp!R66,(len(tipp!R66)-find(":",tipp!R66)))=tipp!$G66-tipp!$H66,pontozas!$B$2,0)+if(tipp!R66=tipp!$F66,pontozas!$B$3),""),"")</f>
        <v/>
      </c>
      <c r="J67" t="str">
        <f>if(J$1&lt;&gt;"",iferror(if(if(left(tipp!S66,find(":",tipp!S66)-1)&gt;right(tipp!S66,(len(tipp!S66)-find(":",tipp!S66))),1,if(right(tipp!S66,(len(tipp!S66)-find(":",tipp!S66)))&gt;left(tipp!S66,find(":",tipp!S66)-1),2,"x"))=tipp!$I66,tipp!$J66*pontozas!$B$1)+if(left(tipp!S66,find(":",tipp!S66)-1)-right(tipp!S66,(len(tipp!S66)-find(":",tipp!S66)))=tipp!$G66-tipp!$H66,pontozas!$B$2,0)+if(tipp!S66=tipp!$F66,pontozas!$B$3),""),"")</f>
        <v/>
      </c>
      <c r="K67" t="str">
        <f>if(K$1&lt;&gt;"",iferror(if(if(left(tipp!T66,find(":",tipp!T66)-1)&gt;right(tipp!T66,(len(tipp!T66)-find(":",tipp!T66))),1,if(right(tipp!T66,(len(tipp!T66)-find(":",tipp!T66)))&gt;left(tipp!T66,find(":",tipp!T66)-1),2,"x"))=tipp!$I66,tipp!$J66*pontozas!$B$1)+if(left(tipp!T66,find(":",tipp!T66)-1)-right(tipp!T66,(len(tipp!T66)-find(":",tipp!T66)))=tipp!$G66-tipp!$H66,pontozas!$B$2,0)+if(tipp!T66=tipp!$F66,pontozas!$B$3),""),"")</f>
        <v/>
      </c>
      <c r="L67" t="str">
        <f>if(L$1&lt;&gt;"",iferror(if(if(left(tipp!U66,find(":",tipp!U66)-1)&gt;right(tipp!U66,(len(tipp!U66)-find(":",tipp!U66))),1,if(right(tipp!U66,(len(tipp!U66)-find(":",tipp!U66)))&gt;left(tipp!U66,find(":",tipp!U66)-1),2,"x"))=tipp!$I66,tipp!$J66*pontozas!$B$1)+if(left(tipp!U66,find(":",tipp!U66)-1)-right(tipp!U66,(len(tipp!U66)-find(":",tipp!U66)))=tipp!$G66-tipp!$H66,pontozas!$B$2,0)+if(tipp!U66=tipp!$F66,pontozas!$B$3),""),"")</f>
        <v/>
      </c>
      <c r="M67" t="str">
        <f>if(M$1&lt;&gt;"",iferror(if(if(left(tipp!V66,find(":",tipp!V66)-1)&gt;right(tipp!V66,(len(tipp!V66)-find(":",tipp!V66))),1,if(right(tipp!V66,(len(tipp!V66)-find(":",tipp!V66)))&gt;left(tipp!V66,find(":",tipp!V66)-1),2,"x"))=tipp!$I66,tipp!$J66*pontozas!$B$1)+if(left(tipp!V66,find(":",tipp!V66)-1)-right(tipp!V66,(len(tipp!V66)-find(":",tipp!V66)))=tipp!$G66-tipp!$H66,pontozas!$B$2,0)+if(tipp!V66=tipp!$F66,pontozas!$B$3),""),"")</f>
        <v/>
      </c>
      <c r="N67" t="str">
        <f>if(N$1&lt;&gt;"",iferror(if(if(left(tipp!W66,find(":",tipp!W66)-1)&gt;right(tipp!W66,(len(tipp!W66)-find(":",tipp!W66))),1,if(right(tipp!W66,(len(tipp!W66)-find(":",tipp!W66)))&gt;left(tipp!W66,find(":",tipp!W66)-1),2,"x"))=tipp!$I66,tipp!$J66*pontozas!$B$1)+if(left(tipp!W66,find(":",tipp!W66)-1)-right(tipp!W66,(len(tipp!W66)-find(":",tipp!W66)))=tipp!$G66-tipp!$H66,pontozas!$B$2,0)+if(tipp!W66=tipp!$F66,pontozas!$B$3),""),"")</f>
        <v/>
      </c>
      <c r="O67" t="str">
        <f>if(O$1&lt;&gt;"",iferror(if(if(left(tipp!X66,find(":",tipp!X66)-1)&gt;right(tipp!X66,(len(tipp!X66)-find(":",tipp!X66))),1,if(right(tipp!X66,(len(tipp!X66)-find(":",tipp!X66)))&gt;left(tipp!X66,find(":",tipp!X66)-1),2,"x"))=tipp!$I66,tipp!$J66*pontozas!$B$1)+if(left(tipp!X66,find(":",tipp!X66)-1)-right(tipp!X66,(len(tipp!X66)-find(":",tipp!X66)))=tipp!$G66-tipp!$H66,pontozas!$B$2,0)+if(tipp!X66=tipp!$F66,pontozas!$B$3),""),"")</f>
        <v/>
      </c>
    </row>
    <row r="68">
      <c r="A68" t="str">
        <f>CONCATENATE(tipp!A67&amp;" : "&amp;tipp!B67)</f>
        <v>United States : Canada</v>
      </c>
      <c r="B68">
        <f>if(B$1&lt;&gt;"",iferror(if(if(left(tipp!K67,find(":",tipp!K67)-1)&gt;right(tipp!K67,(len(tipp!K67)-find(":",tipp!K67))),1,if(right(tipp!K67,(len(tipp!K67)-find(":",tipp!K67)))&gt;left(tipp!K67,find(":",tipp!K67)-1),2,"x"))=tipp!$I67,tipp!$J67*pontozas!$B$1)+if(left(tipp!K67,find(":",tipp!K67)-1)-right(tipp!K67,(len(tipp!K67)-find(":",tipp!K67)))=tipp!$G67-tipp!$H67,pontozas!$B$2,0)+if(tipp!K67=tipp!$F67,pontozas!$B$3),""),"")</f>
        <v>2.9</v>
      </c>
      <c r="C68">
        <f>if(C$1&lt;&gt;"",iferror(if(if(left(tipp!L67,find(":",tipp!L67)-1)&gt;right(tipp!L67,(len(tipp!L67)-find(":",tipp!L67))),1,if(right(tipp!L67,(len(tipp!L67)-find(":",tipp!L67)))&gt;left(tipp!L67,find(":",tipp!L67)-1),2,"x"))=tipp!$I67,tipp!$J67*pontozas!$B$1)+if(left(tipp!L67,find(":",tipp!L67)-1)-right(tipp!L67,(len(tipp!L67)-find(":",tipp!L67)))=tipp!$G67-tipp!$H67,pontozas!$B$2,0)+if(tipp!L67=tipp!$F67,pontozas!$B$3),""),"")</f>
        <v>0</v>
      </c>
      <c r="D68">
        <f>if(D$1&lt;&gt;"",iferror(if(if(left(tipp!M67,find(":",tipp!M67)-1)&gt;right(tipp!M67,(len(tipp!M67)-find(":",tipp!M67))),1,if(right(tipp!M67,(len(tipp!M67)-find(":",tipp!M67)))&gt;left(tipp!M67,find(":",tipp!M67)-1),2,"x"))=tipp!$I67,tipp!$J67*pontozas!$B$1)+if(left(tipp!M67,find(":",tipp!M67)-1)-right(tipp!M67,(len(tipp!M67)-find(":",tipp!M67)))=tipp!$G67-tipp!$H67,pontozas!$B$2,0)+if(tipp!M67=tipp!$F67,pontozas!$B$3),""),"")</f>
        <v>0</v>
      </c>
      <c r="E68">
        <f>if(E$1&lt;&gt;"",iferror(if(if(left(tipp!N67,find(":",tipp!N67)-1)&gt;right(tipp!N67,(len(tipp!N67)-find(":",tipp!N67))),1,if(right(tipp!N67,(len(tipp!N67)-find(":",tipp!N67)))&gt;left(tipp!N67,find(":",tipp!N67)-1),2,"x"))=tipp!$I67,tipp!$J67*pontozas!$B$1)+if(left(tipp!N67,find(":",tipp!N67)-1)-right(tipp!N67,(len(tipp!N67)-find(":",tipp!N67)))=tipp!$G67-tipp!$H67,pontozas!$B$2,0)+if(tipp!N67=tipp!$F67,pontozas!$B$3),""),"")</f>
        <v>0</v>
      </c>
      <c r="F68">
        <f>if(F$1&lt;&gt;"",iferror(if(if(left(tipp!O67,find(":",tipp!O67)-1)&gt;right(tipp!O67,(len(tipp!O67)-find(":",tipp!O67))),1,if(right(tipp!O67,(len(tipp!O67)-find(":",tipp!O67)))&gt;left(tipp!O67,find(":",tipp!O67)-1),2,"x"))=tipp!$I67,tipp!$J67*pontozas!$B$1)+if(left(tipp!O67,find(":",tipp!O67)-1)-right(tipp!O67,(len(tipp!O67)-find(":",tipp!O67)))=tipp!$G67-tipp!$H67,pontozas!$B$2,0)+if(tipp!O67=tipp!$F67,pontozas!$B$3),""),"")</f>
        <v>0</v>
      </c>
      <c r="G68" t="str">
        <f>if(G$1&lt;&gt;"",iferror(if(if(left(tipp!P67,find(":",tipp!P67)-1)&gt;right(tipp!P67,(len(tipp!P67)-find(":",tipp!P67))),1,if(right(tipp!P67,(len(tipp!P67)-find(":",tipp!P67)))&gt;left(tipp!P67,find(":",tipp!P67)-1),2,"x"))=tipp!$I67,tipp!$J67*pontozas!$B$1)+if(left(tipp!P67,find(":",tipp!P67)-1)-right(tipp!P67,(len(tipp!P67)-find(":",tipp!P67)))=tipp!$G67-tipp!$H67,pontozas!$B$2,0)+if(tipp!P67=tipp!$F67,pontozas!$B$3),""),"")</f>
        <v/>
      </c>
      <c r="H68" t="str">
        <f>if(H$1&lt;&gt;"",iferror(if(if(left(tipp!Q67,find(":",tipp!Q67)-1)&gt;right(tipp!Q67,(len(tipp!Q67)-find(":",tipp!Q67))),1,if(right(tipp!Q67,(len(tipp!Q67)-find(":",tipp!Q67)))&gt;left(tipp!Q67,find(":",tipp!Q67)-1),2,"x"))=tipp!$I67,tipp!$J67*pontozas!$B$1)+if(left(tipp!Q67,find(":",tipp!Q67)-1)-right(tipp!Q67,(len(tipp!Q67)-find(":",tipp!Q67)))=tipp!$G67-tipp!$H67,pontozas!$B$2,0)+if(tipp!Q67=tipp!$F67,pontozas!$B$3),""),"")</f>
        <v/>
      </c>
      <c r="I68" t="str">
        <f>if(I$1&lt;&gt;"",iferror(if(if(left(tipp!R67,find(":",tipp!R67)-1)&gt;right(tipp!R67,(len(tipp!R67)-find(":",tipp!R67))),1,if(right(tipp!R67,(len(tipp!R67)-find(":",tipp!R67)))&gt;left(tipp!R67,find(":",tipp!R67)-1),2,"x"))=tipp!$I67,tipp!$J67*pontozas!$B$1)+if(left(tipp!R67,find(":",tipp!R67)-1)-right(tipp!R67,(len(tipp!R67)-find(":",tipp!R67)))=tipp!$G67-tipp!$H67,pontozas!$B$2,0)+if(tipp!R67=tipp!$F67,pontozas!$B$3),""),"")</f>
        <v/>
      </c>
      <c r="J68" t="str">
        <f>if(J$1&lt;&gt;"",iferror(if(if(left(tipp!S67,find(":",tipp!S67)-1)&gt;right(tipp!S67,(len(tipp!S67)-find(":",tipp!S67))),1,if(right(tipp!S67,(len(tipp!S67)-find(":",tipp!S67)))&gt;left(tipp!S67,find(":",tipp!S67)-1),2,"x"))=tipp!$I67,tipp!$J67*pontozas!$B$1)+if(left(tipp!S67,find(":",tipp!S67)-1)-right(tipp!S67,(len(tipp!S67)-find(":",tipp!S67)))=tipp!$G67-tipp!$H67,pontozas!$B$2,0)+if(tipp!S67=tipp!$F67,pontozas!$B$3),""),"")</f>
        <v/>
      </c>
      <c r="K68" t="str">
        <f>if(K$1&lt;&gt;"",iferror(if(if(left(tipp!T67,find(":",tipp!T67)-1)&gt;right(tipp!T67,(len(tipp!T67)-find(":",tipp!T67))),1,if(right(tipp!T67,(len(tipp!T67)-find(":",tipp!T67)))&gt;left(tipp!T67,find(":",tipp!T67)-1),2,"x"))=tipp!$I67,tipp!$J67*pontozas!$B$1)+if(left(tipp!T67,find(":",tipp!T67)-1)-right(tipp!T67,(len(tipp!T67)-find(":",tipp!T67)))=tipp!$G67-tipp!$H67,pontozas!$B$2,0)+if(tipp!T67=tipp!$F67,pontozas!$B$3),""),"")</f>
        <v/>
      </c>
      <c r="L68" t="str">
        <f>if(L$1&lt;&gt;"",iferror(if(if(left(tipp!U67,find(":",tipp!U67)-1)&gt;right(tipp!U67,(len(tipp!U67)-find(":",tipp!U67))),1,if(right(tipp!U67,(len(tipp!U67)-find(":",tipp!U67)))&gt;left(tipp!U67,find(":",tipp!U67)-1),2,"x"))=tipp!$I67,tipp!$J67*pontozas!$B$1)+if(left(tipp!U67,find(":",tipp!U67)-1)-right(tipp!U67,(len(tipp!U67)-find(":",tipp!U67)))=tipp!$G67-tipp!$H67,pontozas!$B$2,0)+if(tipp!U67=tipp!$F67,pontozas!$B$3),""),"")</f>
        <v/>
      </c>
      <c r="M68" t="str">
        <f>if(M$1&lt;&gt;"",iferror(if(if(left(tipp!V67,find(":",tipp!V67)-1)&gt;right(tipp!V67,(len(tipp!V67)-find(":",tipp!V67))),1,if(right(tipp!V67,(len(tipp!V67)-find(":",tipp!V67)))&gt;left(tipp!V67,find(":",tipp!V67)-1),2,"x"))=tipp!$I67,tipp!$J67*pontozas!$B$1)+if(left(tipp!V67,find(":",tipp!V67)-1)-right(tipp!V67,(len(tipp!V67)-find(":",tipp!V67)))=tipp!$G67-tipp!$H67,pontozas!$B$2,0)+if(tipp!V67=tipp!$F67,pontozas!$B$3),""),"")</f>
        <v/>
      </c>
      <c r="N68" t="str">
        <f>if(N$1&lt;&gt;"",iferror(if(if(left(tipp!W67,find(":",tipp!W67)-1)&gt;right(tipp!W67,(len(tipp!W67)-find(":",tipp!W67))),1,if(right(tipp!W67,(len(tipp!W67)-find(":",tipp!W67)))&gt;left(tipp!W67,find(":",tipp!W67)-1),2,"x"))=tipp!$I67,tipp!$J67*pontozas!$B$1)+if(left(tipp!W67,find(":",tipp!W67)-1)-right(tipp!W67,(len(tipp!W67)-find(":",tipp!W67)))=tipp!$G67-tipp!$H67,pontozas!$B$2,0)+if(tipp!W67=tipp!$F67,pontozas!$B$3),""),"")</f>
        <v/>
      </c>
      <c r="O68" t="str">
        <f>if(O$1&lt;&gt;"",iferror(if(if(left(tipp!X67,find(":",tipp!X67)-1)&gt;right(tipp!X67,(len(tipp!X67)-find(":",tipp!X67))),1,if(right(tipp!X67,(len(tipp!X67)-find(":",tipp!X67)))&gt;left(tipp!X67,find(":",tipp!X67)-1),2,"x"))=tipp!$I67,tipp!$J67*pontozas!$B$1)+if(left(tipp!X67,find(":",tipp!X67)-1)-right(tipp!X67,(len(tipp!X67)-find(":",tipp!X67)))=tipp!$G67-tipp!$H67,pontozas!$B$2,0)+if(tipp!X67=tipp!$F67,pontozas!$B$3),""),"")</f>
        <v/>
      </c>
    </row>
    <row r="69">
      <c r="A69" t="str">
        <f>CONCATENATE(tipp!A68&amp;" : "&amp;tipp!B68)</f>
        <v>Sweden : Switzerland</v>
      </c>
      <c r="B69">
        <f>if(B$1&lt;&gt;"",iferror(if(if(left(tipp!K68,find(":",tipp!K68)-1)&gt;right(tipp!K68,(len(tipp!K68)-find(":",tipp!K68))),1,if(right(tipp!K68,(len(tipp!K68)-find(":",tipp!K68)))&gt;left(tipp!K68,find(":",tipp!K68)-1),2,"x"))=tipp!$I68,tipp!$J68*pontozas!$B$1)+if(left(tipp!K68,find(":",tipp!K68)-1)-right(tipp!K68,(len(tipp!K68)-find(":",tipp!K68)))=tipp!$G68-tipp!$H68,pontozas!$B$2,0)+if(tipp!K68=tipp!$F68,pontozas!$B$3),""),"")</f>
        <v>6</v>
      </c>
      <c r="C69">
        <f>if(C$1&lt;&gt;"",iferror(if(if(left(tipp!L68,find(":",tipp!L68)-1)&gt;right(tipp!L68,(len(tipp!L68)-find(":",tipp!L68))),1,if(right(tipp!L68,(len(tipp!L68)-find(":",tipp!L68)))&gt;left(tipp!L68,find(":",tipp!L68)-1),2,"x"))=tipp!$I68,tipp!$J68*pontozas!$B$1)+if(left(tipp!L68,find(":",tipp!L68)-1)-right(tipp!L68,(len(tipp!L68)-find(":",tipp!L68)))=tipp!$G68-tipp!$H68,pontozas!$B$2,0)+if(tipp!L68=tipp!$F68,pontozas!$B$3),""),"")</f>
        <v>0</v>
      </c>
      <c r="D69">
        <f>if(D$1&lt;&gt;"",iferror(if(if(left(tipp!M68,find(":",tipp!M68)-1)&gt;right(tipp!M68,(len(tipp!M68)-find(":",tipp!M68))),1,if(right(tipp!M68,(len(tipp!M68)-find(":",tipp!M68)))&gt;left(tipp!M68,find(":",tipp!M68)-1),2,"x"))=tipp!$I68,tipp!$J68*pontozas!$B$1)+if(left(tipp!M68,find(":",tipp!M68)-1)-right(tipp!M68,(len(tipp!M68)-find(":",tipp!M68)))=tipp!$G68-tipp!$H68,pontozas!$B$2,0)+if(tipp!M68=tipp!$F68,pontozas!$B$3),""),"")</f>
        <v>0</v>
      </c>
      <c r="E69">
        <f>if(E$1&lt;&gt;"",iferror(if(if(left(tipp!N68,find(":",tipp!N68)-1)&gt;right(tipp!N68,(len(tipp!N68)-find(":",tipp!N68))),1,if(right(tipp!N68,(len(tipp!N68)-find(":",tipp!N68)))&gt;left(tipp!N68,find(":",tipp!N68)-1),2,"x"))=tipp!$I68,tipp!$J68*pontozas!$B$1)+if(left(tipp!N68,find(":",tipp!N68)-1)-right(tipp!N68,(len(tipp!N68)-find(":",tipp!N68)))=tipp!$G68-tipp!$H68,pontozas!$B$2,0)+if(tipp!N68=tipp!$F68,pontozas!$B$3),""),"")</f>
        <v>0</v>
      </c>
      <c r="F69">
        <f>if(F$1&lt;&gt;"",iferror(if(if(left(tipp!O68,find(":",tipp!O68)-1)&gt;right(tipp!O68,(len(tipp!O68)-find(":",tipp!O68))),1,if(right(tipp!O68,(len(tipp!O68)-find(":",tipp!O68)))&gt;left(tipp!O68,find(":",tipp!O68)-1),2,"x"))=tipp!$I68,tipp!$J68*pontozas!$B$1)+if(left(tipp!O68,find(":",tipp!O68)-1)-right(tipp!O68,(len(tipp!O68)-find(":",tipp!O68)))=tipp!$G68-tipp!$H68,pontozas!$B$2,0)+if(tipp!O68=tipp!$F68,pontozas!$B$3),""),"")</f>
        <v>0</v>
      </c>
      <c r="G69" t="str">
        <f>if(G$1&lt;&gt;"",iferror(if(if(left(tipp!P68,find(":",tipp!P68)-1)&gt;right(tipp!P68,(len(tipp!P68)-find(":",tipp!P68))),1,if(right(tipp!P68,(len(tipp!P68)-find(":",tipp!P68)))&gt;left(tipp!P68,find(":",tipp!P68)-1),2,"x"))=tipp!$I68,tipp!$J68*pontozas!$B$1)+if(left(tipp!P68,find(":",tipp!P68)-1)-right(tipp!P68,(len(tipp!P68)-find(":",tipp!P68)))=tipp!$G68-tipp!$H68,pontozas!$B$2,0)+if(tipp!P68=tipp!$F68,pontozas!$B$3),""),"")</f>
        <v/>
      </c>
      <c r="H69" t="str">
        <f>if(H$1&lt;&gt;"",iferror(if(if(left(tipp!Q68,find(":",tipp!Q68)-1)&gt;right(tipp!Q68,(len(tipp!Q68)-find(":",tipp!Q68))),1,if(right(tipp!Q68,(len(tipp!Q68)-find(":",tipp!Q68)))&gt;left(tipp!Q68,find(":",tipp!Q68)-1),2,"x"))=tipp!$I68,tipp!$J68*pontozas!$B$1)+if(left(tipp!Q68,find(":",tipp!Q68)-1)-right(tipp!Q68,(len(tipp!Q68)-find(":",tipp!Q68)))=tipp!$G68-tipp!$H68,pontozas!$B$2,0)+if(tipp!Q68=tipp!$F68,pontozas!$B$3),""),"")</f>
        <v/>
      </c>
      <c r="I69" t="str">
        <f>if(I$1&lt;&gt;"",iferror(if(if(left(tipp!R68,find(":",tipp!R68)-1)&gt;right(tipp!R68,(len(tipp!R68)-find(":",tipp!R68))),1,if(right(tipp!R68,(len(tipp!R68)-find(":",tipp!R68)))&gt;left(tipp!R68,find(":",tipp!R68)-1),2,"x"))=tipp!$I68,tipp!$J68*pontozas!$B$1)+if(left(tipp!R68,find(":",tipp!R68)-1)-right(tipp!R68,(len(tipp!R68)-find(":",tipp!R68)))=tipp!$G68-tipp!$H68,pontozas!$B$2,0)+if(tipp!R68=tipp!$F68,pontozas!$B$3),""),"")</f>
        <v/>
      </c>
      <c r="J69" t="str">
        <f>if(J$1&lt;&gt;"",iferror(if(if(left(tipp!S68,find(":",tipp!S68)-1)&gt;right(tipp!S68,(len(tipp!S68)-find(":",tipp!S68))),1,if(right(tipp!S68,(len(tipp!S68)-find(":",tipp!S68)))&gt;left(tipp!S68,find(":",tipp!S68)-1),2,"x"))=tipp!$I68,tipp!$J68*pontozas!$B$1)+if(left(tipp!S68,find(":",tipp!S68)-1)-right(tipp!S68,(len(tipp!S68)-find(":",tipp!S68)))=tipp!$G68-tipp!$H68,pontozas!$B$2,0)+if(tipp!S68=tipp!$F68,pontozas!$B$3),""),"")</f>
        <v/>
      </c>
      <c r="K69" t="str">
        <f>if(K$1&lt;&gt;"",iferror(if(if(left(tipp!T68,find(":",tipp!T68)-1)&gt;right(tipp!T68,(len(tipp!T68)-find(":",tipp!T68))),1,if(right(tipp!T68,(len(tipp!T68)-find(":",tipp!T68)))&gt;left(tipp!T68,find(":",tipp!T68)-1),2,"x"))=tipp!$I68,tipp!$J68*pontozas!$B$1)+if(left(tipp!T68,find(":",tipp!T68)-1)-right(tipp!T68,(len(tipp!T68)-find(":",tipp!T68)))=tipp!$G68-tipp!$H68,pontozas!$B$2,0)+if(tipp!T68=tipp!$F68,pontozas!$B$3),""),"")</f>
        <v/>
      </c>
      <c r="L69" t="str">
        <f>if(L$1&lt;&gt;"",iferror(if(if(left(tipp!U68,find(":",tipp!U68)-1)&gt;right(tipp!U68,(len(tipp!U68)-find(":",tipp!U68))),1,if(right(tipp!U68,(len(tipp!U68)-find(":",tipp!U68)))&gt;left(tipp!U68,find(":",tipp!U68)-1),2,"x"))=tipp!$I68,tipp!$J68*pontozas!$B$1)+if(left(tipp!U68,find(":",tipp!U68)-1)-right(tipp!U68,(len(tipp!U68)-find(":",tipp!U68)))=tipp!$G68-tipp!$H68,pontozas!$B$2,0)+if(tipp!U68=tipp!$F68,pontozas!$B$3),""),"")</f>
        <v/>
      </c>
      <c r="M69" t="str">
        <f>if(M$1&lt;&gt;"",iferror(if(if(left(tipp!V68,find(":",tipp!V68)-1)&gt;right(tipp!V68,(len(tipp!V68)-find(":",tipp!V68))),1,if(right(tipp!V68,(len(tipp!V68)-find(":",tipp!V68)))&gt;left(tipp!V68,find(":",tipp!V68)-1),2,"x"))=tipp!$I68,tipp!$J68*pontozas!$B$1)+if(left(tipp!V68,find(":",tipp!V68)-1)-right(tipp!V68,(len(tipp!V68)-find(":",tipp!V68)))=tipp!$G68-tipp!$H68,pontozas!$B$2,0)+if(tipp!V68=tipp!$F68,pontozas!$B$3),""),"")</f>
        <v/>
      </c>
      <c r="N69" t="str">
        <f>if(N$1&lt;&gt;"",iferror(if(if(left(tipp!W68,find(":",tipp!W68)-1)&gt;right(tipp!W68,(len(tipp!W68)-find(":",tipp!W68))),1,if(right(tipp!W68,(len(tipp!W68)-find(":",tipp!W68)))&gt;left(tipp!W68,find(":",tipp!W68)-1),2,"x"))=tipp!$I68,tipp!$J68*pontozas!$B$1)+if(left(tipp!W68,find(":",tipp!W68)-1)-right(tipp!W68,(len(tipp!W68)-find(":",tipp!W68)))=tipp!$G68-tipp!$H68,pontozas!$B$2,0)+if(tipp!W68=tipp!$F68,pontozas!$B$3),""),"")</f>
        <v/>
      </c>
      <c r="O69" t="str">
        <f>if(O$1&lt;&gt;"",iferror(if(if(left(tipp!X68,find(":",tipp!X68)-1)&gt;right(tipp!X68,(len(tipp!X68)-find(":",tipp!X68))),1,if(right(tipp!X68,(len(tipp!X68)-find(":",tipp!X68)))&gt;left(tipp!X68,find(":",tipp!X68)-1),2,"x"))=tipp!$I68,tipp!$J68*pontozas!$B$1)+if(left(tipp!X68,find(":",tipp!X68)-1)-right(tipp!X68,(len(tipp!X68)-find(":",tipp!X68)))=tipp!$G68-tipp!$H68,pontozas!$B$2,0)+if(tipp!X68=tipp!$F68,pontozas!$B$3),""),"")</f>
        <v/>
      </c>
    </row>
    <row r="70">
      <c r="A70" t="str">
        <f>CONCATENATE(tipp!A69&amp;" : "&amp;tipp!B69)</f>
        <v> : </v>
      </c>
      <c r="B70" t="str">
        <f>if(B$1&lt;&gt;"",iferror(if(if(left(tipp!K69,find(":",tipp!K69)-1)&gt;right(tipp!K69,(len(tipp!K69)-find(":",tipp!K69))),1,if(right(tipp!K69,(len(tipp!K69)-find(":",tipp!K69)))&gt;left(tipp!K69,find(":",tipp!K69)-1),2,"x"))=tipp!$I69,tipp!$J69*pontozas!$B$1)+if(left(tipp!K69,find(":",tipp!K69)-1)-right(tipp!K69,(len(tipp!K69)-find(":",tipp!K69)))=tipp!$G69-tipp!$H69,pontozas!$B$2,0)+if(tipp!K69=tipp!$F69,pontozas!$B$3),""),"")</f>
        <v/>
      </c>
      <c r="C70" t="str">
        <f>if(C$1&lt;&gt;"",iferror(if(if(left(tipp!L69,find(":",tipp!L69)-1)&gt;right(tipp!L69,(len(tipp!L69)-find(":",tipp!L69))),1,if(right(tipp!L69,(len(tipp!L69)-find(":",tipp!L69)))&gt;left(tipp!L69,find(":",tipp!L69)-1),2,"x"))=tipp!$I69,tipp!$J69*pontozas!$B$1)+if(left(tipp!L69,find(":",tipp!L69)-1)-right(tipp!L69,(len(tipp!L69)-find(":",tipp!L69)))=tipp!$G69-tipp!$H69,pontozas!$B$2,0)+if(tipp!L69=tipp!$F69,pontozas!$B$3),""),"")</f>
        <v/>
      </c>
      <c r="D70" t="str">
        <f>if(D$1&lt;&gt;"",iferror(if(if(left(tipp!M69,find(":",tipp!M69)-1)&gt;right(tipp!M69,(len(tipp!M69)-find(":",tipp!M69))),1,if(right(tipp!M69,(len(tipp!M69)-find(":",tipp!M69)))&gt;left(tipp!M69,find(":",tipp!M69)-1),2,"x"))=tipp!$I69,tipp!$J69*pontozas!$B$1)+if(left(tipp!M69,find(":",tipp!M69)-1)-right(tipp!M69,(len(tipp!M69)-find(":",tipp!M69)))=tipp!$G69-tipp!$H69,pontozas!$B$2,0)+if(tipp!M69=tipp!$F69,pontozas!$B$3),""),"")</f>
        <v/>
      </c>
      <c r="E70" t="str">
        <f>if(E$1&lt;&gt;"",iferror(if(if(left(tipp!N69,find(":",tipp!N69)-1)&gt;right(tipp!N69,(len(tipp!N69)-find(":",tipp!N69))),1,if(right(tipp!N69,(len(tipp!N69)-find(":",tipp!N69)))&gt;left(tipp!N69,find(":",tipp!N69)-1),2,"x"))=tipp!$I69,tipp!$J69*pontozas!$B$1)+if(left(tipp!N69,find(":",tipp!N69)-1)-right(tipp!N69,(len(tipp!N69)-find(":",tipp!N69)))=tipp!$G69-tipp!$H69,pontozas!$B$2,0)+if(tipp!N69=tipp!$F69,pontozas!$B$3),""),"")</f>
        <v/>
      </c>
      <c r="F70" t="str">
        <f>if(F$1&lt;&gt;"",iferror(if(if(left(tipp!O69,find(":",tipp!O69)-1)&gt;right(tipp!O69,(len(tipp!O69)-find(":",tipp!O69))),1,if(right(tipp!O69,(len(tipp!O69)-find(":",tipp!O69)))&gt;left(tipp!O69,find(":",tipp!O69)-1),2,"x"))=tipp!$I69,tipp!$J69*pontozas!$B$1)+if(left(tipp!O69,find(":",tipp!O69)-1)-right(tipp!O69,(len(tipp!O69)-find(":",tipp!O69)))=tipp!$G69-tipp!$H69,pontozas!$B$2,0)+if(tipp!O69=tipp!$F69,pontozas!$B$3),""),"")</f>
        <v/>
      </c>
      <c r="G70" t="str">
        <f>if(G$1&lt;&gt;"",iferror(if(if(left(tipp!P69,find(":",tipp!P69)-1)&gt;right(tipp!P69,(len(tipp!P69)-find(":",tipp!P69))),1,if(right(tipp!P69,(len(tipp!P69)-find(":",tipp!P69)))&gt;left(tipp!P69,find(":",tipp!P69)-1),2,"x"))=tipp!$I69,tipp!$J69*pontozas!$B$1)+if(left(tipp!P69,find(":",tipp!P69)-1)-right(tipp!P69,(len(tipp!P69)-find(":",tipp!P69)))=tipp!$G69-tipp!$H69,pontozas!$B$2,0)+if(tipp!P69=tipp!$F69,pontozas!$B$3),""),"")</f>
        <v/>
      </c>
      <c r="H70" t="str">
        <f>if(H$1&lt;&gt;"",iferror(if(if(left(tipp!Q69,find(":",tipp!Q69)-1)&gt;right(tipp!Q69,(len(tipp!Q69)-find(":",tipp!Q69))),1,if(right(tipp!Q69,(len(tipp!Q69)-find(":",tipp!Q69)))&gt;left(tipp!Q69,find(":",tipp!Q69)-1),2,"x"))=tipp!$I69,tipp!$J69*pontozas!$B$1)+if(left(tipp!Q69,find(":",tipp!Q69)-1)-right(tipp!Q69,(len(tipp!Q69)-find(":",tipp!Q69)))=tipp!$G69-tipp!$H69,pontozas!$B$2,0)+if(tipp!Q69=tipp!$F69,pontozas!$B$3),""),"")</f>
        <v/>
      </c>
      <c r="I70" t="str">
        <f>if(I$1&lt;&gt;"",iferror(if(if(left(tipp!R69,find(":",tipp!R69)-1)&gt;right(tipp!R69,(len(tipp!R69)-find(":",tipp!R69))),1,if(right(tipp!R69,(len(tipp!R69)-find(":",tipp!R69)))&gt;left(tipp!R69,find(":",tipp!R69)-1),2,"x"))=tipp!$I69,tipp!$J69*pontozas!$B$1)+if(left(tipp!R69,find(":",tipp!R69)-1)-right(tipp!R69,(len(tipp!R69)-find(":",tipp!R69)))=tipp!$G69-tipp!$H69,pontozas!$B$2,0)+if(tipp!R69=tipp!$F69,pontozas!$B$3),""),"")</f>
        <v/>
      </c>
      <c r="J70" t="str">
        <f>if(J$1&lt;&gt;"",iferror(if(if(left(tipp!S69,find(":",tipp!S69)-1)&gt;right(tipp!S69,(len(tipp!S69)-find(":",tipp!S69))),1,if(right(tipp!S69,(len(tipp!S69)-find(":",tipp!S69)))&gt;left(tipp!S69,find(":",tipp!S69)-1),2,"x"))=tipp!$I69,tipp!$J69*pontozas!$B$1)+if(left(tipp!S69,find(":",tipp!S69)-1)-right(tipp!S69,(len(tipp!S69)-find(":",tipp!S69)))=tipp!$G69-tipp!$H69,pontozas!$B$2,0)+if(tipp!S69=tipp!$F69,pontozas!$B$3),""),"")</f>
        <v/>
      </c>
      <c r="K70" t="str">
        <f>if(K$1&lt;&gt;"",iferror(if(if(left(tipp!T69,find(":",tipp!T69)-1)&gt;right(tipp!T69,(len(tipp!T69)-find(":",tipp!T69))),1,if(right(tipp!T69,(len(tipp!T69)-find(":",tipp!T69)))&gt;left(tipp!T69,find(":",tipp!T69)-1),2,"x"))=tipp!$I69,tipp!$J69*pontozas!$B$1)+if(left(tipp!T69,find(":",tipp!T69)-1)-right(tipp!T69,(len(tipp!T69)-find(":",tipp!T69)))=tipp!$G69-tipp!$H69,pontozas!$B$2,0)+if(tipp!T69=tipp!$F69,pontozas!$B$3),""),"")</f>
        <v/>
      </c>
      <c r="L70" t="str">
        <f>if(L$1&lt;&gt;"",iferror(if(if(left(tipp!U69,find(":",tipp!U69)-1)&gt;right(tipp!U69,(len(tipp!U69)-find(":",tipp!U69))),1,if(right(tipp!U69,(len(tipp!U69)-find(":",tipp!U69)))&gt;left(tipp!U69,find(":",tipp!U69)-1),2,"x"))=tipp!$I69,tipp!$J69*pontozas!$B$1)+if(left(tipp!U69,find(":",tipp!U69)-1)-right(tipp!U69,(len(tipp!U69)-find(":",tipp!U69)))=tipp!$G69-tipp!$H69,pontozas!$B$2,0)+if(tipp!U69=tipp!$F69,pontozas!$B$3),""),"")</f>
        <v/>
      </c>
      <c r="M70" t="str">
        <f>if(M$1&lt;&gt;"",iferror(if(if(left(tipp!V69,find(":",tipp!V69)-1)&gt;right(tipp!V69,(len(tipp!V69)-find(":",tipp!V69))),1,if(right(tipp!V69,(len(tipp!V69)-find(":",tipp!V69)))&gt;left(tipp!V69,find(":",tipp!V69)-1),2,"x"))=tipp!$I69,tipp!$J69*pontozas!$B$1)+if(left(tipp!V69,find(":",tipp!V69)-1)-right(tipp!V69,(len(tipp!V69)-find(":",tipp!V69)))=tipp!$G69-tipp!$H69,pontozas!$B$2,0)+if(tipp!V69=tipp!$F69,pontozas!$B$3),""),"")</f>
        <v/>
      </c>
      <c r="N70" t="str">
        <f>if(N$1&lt;&gt;"",iferror(if(if(left(tipp!W69,find(":",tipp!W69)-1)&gt;right(tipp!W69,(len(tipp!W69)-find(":",tipp!W69))),1,if(right(tipp!W69,(len(tipp!W69)-find(":",tipp!W69)))&gt;left(tipp!W69,find(":",tipp!W69)-1),2,"x"))=tipp!$I69,tipp!$J69*pontozas!$B$1)+if(left(tipp!W69,find(":",tipp!W69)-1)-right(tipp!W69,(len(tipp!W69)-find(":",tipp!W69)))=tipp!$G69-tipp!$H69,pontozas!$B$2,0)+if(tipp!W69=tipp!$F69,pontozas!$B$3),""),"")</f>
        <v/>
      </c>
      <c r="O70" t="str">
        <f>if(O$1&lt;&gt;"",iferror(if(if(left(tipp!X69,find(":",tipp!X69)-1)&gt;right(tipp!X69,(len(tipp!X69)-find(":",tipp!X69))),1,if(right(tipp!X69,(len(tipp!X69)-find(":",tipp!X69)))&gt;left(tipp!X69,find(":",tipp!X69)-1),2,"x"))=tipp!$I69,tipp!$J69*pontozas!$B$1)+if(left(tipp!X69,find(":",tipp!X69)-1)-right(tipp!X69,(len(tipp!X69)-find(":",tipp!X69)))=tipp!$G69-tipp!$H69,pontozas!$B$2,0)+if(tipp!X69=tipp!$F69,pontozas!$B$3),""),"")</f>
        <v/>
      </c>
    </row>
    <row r="71">
      <c r="A71" t="str">
        <f>CONCATENATE(tipp!A70&amp;" : "&amp;tipp!B70)</f>
        <v> : </v>
      </c>
      <c r="B71" t="str">
        <f>if(B$1&lt;&gt;"",iferror(if(if(left(tipp!K70,find(":",tipp!K70)-1)&gt;right(tipp!K70,(len(tipp!K70)-find(":",tipp!K70))),1,if(right(tipp!K70,(len(tipp!K70)-find(":",tipp!K70)))&gt;left(tipp!K70,find(":",tipp!K70)-1),2,"x"))=tipp!$I70,tipp!$J70*pontozas!$B$1)+if(left(tipp!K70,find(":",tipp!K70)-1)-right(tipp!K70,(len(tipp!K70)-find(":",tipp!K70)))=tipp!$G70-tipp!$H70,pontozas!$B$2,0)+if(tipp!K70=tipp!$F70,pontozas!$B$3),""),"")</f>
        <v/>
      </c>
      <c r="C71" t="str">
        <f>if(C$1&lt;&gt;"",iferror(if(if(left(tipp!L70,find(":",tipp!L70)-1)&gt;right(tipp!L70,(len(tipp!L70)-find(":",tipp!L70))),1,if(right(tipp!L70,(len(tipp!L70)-find(":",tipp!L70)))&gt;left(tipp!L70,find(":",tipp!L70)-1),2,"x"))=tipp!$I70,tipp!$J70*pontozas!$B$1)+if(left(tipp!L70,find(":",tipp!L70)-1)-right(tipp!L70,(len(tipp!L70)-find(":",tipp!L70)))=tipp!$G70-tipp!$H70,pontozas!$B$2,0)+if(tipp!L70=tipp!$F70,pontozas!$B$3),""),"")</f>
        <v/>
      </c>
      <c r="D71" t="str">
        <f>if(D$1&lt;&gt;"",iferror(if(if(left(tipp!M70,find(":",tipp!M70)-1)&gt;right(tipp!M70,(len(tipp!M70)-find(":",tipp!M70))),1,if(right(tipp!M70,(len(tipp!M70)-find(":",tipp!M70)))&gt;left(tipp!M70,find(":",tipp!M70)-1),2,"x"))=tipp!$I70,tipp!$J70*pontozas!$B$1)+if(left(tipp!M70,find(":",tipp!M70)-1)-right(tipp!M70,(len(tipp!M70)-find(":",tipp!M70)))=tipp!$G70-tipp!$H70,pontozas!$B$2,0)+if(tipp!M70=tipp!$F70,pontozas!$B$3),""),"")</f>
        <v/>
      </c>
      <c r="E71" t="str">
        <f>if(E$1&lt;&gt;"",iferror(if(if(left(tipp!N70,find(":",tipp!N70)-1)&gt;right(tipp!N70,(len(tipp!N70)-find(":",tipp!N70))),1,if(right(tipp!N70,(len(tipp!N70)-find(":",tipp!N70)))&gt;left(tipp!N70,find(":",tipp!N70)-1),2,"x"))=tipp!$I70,tipp!$J70*pontozas!$B$1)+if(left(tipp!N70,find(":",tipp!N70)-1)-right(tipp!N70,(len(tipp!N70)-find(":",tipp!N70)))=tipp!$G70-tipp!$H70,pontozas!$B$2,0)+if(tipp!N70=tipp!$F70,pontozas!$B$3),""),"")</f>
        <v/>
      </c>
      <c r="F71" t="str">
        <f>if(F$1&lt;&gt;"",iferror(if(if(left(tipp!O70,find(":",tipp!O70)-1)&gt;right(tipp!O70,(len(tipp!O70)-find(":",tipp!O70))),1,if(right(tipp!O70,(len(tipp!O70)-find(":",tipp!O70)))&gt;left(tipp!O70,find(":",tipp!O70)-1),2,"x"))=tipp!$I70,tipp!$J70*pontozas!$B$1)+if(left(tipp!O70,find(":",tipp!O70)-1)-right(tipp!O70,(len(tipp!O70)-find(":",tipp!O70)))=tipp!$G70-tipp!$H70,pontozas!$B$2,0)+if(tipp!O70=tipp!$F70,pontozas!$B$3),""),"")</f>
        <v/>
      </c>
      <c r="G71" t="str">
        <f>if(G$1&lt;&gt;"",iferror(if(if(left(tipp!P70,find(":",tipp!P70)-1)&gt;right(tipp!P70,(len(tipp!P70)-find(":",tipp!P70))),1,if(right(tipp!P70,(len(tipp!P70)-find(":",tipp!P70)))&gt;left(tipp!P70,find(":",tipp!P70)-1),2,"x"))=tipp!$I70,tipp!$J70*pontozas!$B$1)+if(left(tipp!P70,find(":",tipp!P70)-1)-right(tipp!P70,(len(tipp!P70)-find(":",tipp!P70)))=tipp!$G70-tipp!$H70,pontozas!$B$2,0)+if(tipp!P70=tipp!$F70,pontozas!$B$3),""),"")</f>
        <v/>
      </c>
      <c r="H71" t="str">
        <f>if(H$1&lt;&gt;"",iferror(if(if(left(tipp!Q70,find(":",tipp!Q70)-1)&gt;right(tipp!Q70,(len(tipp!Q70)-find(":",tipp!Q70))),1,if(right(tipp!Q70,(len(tipp!Q70)-find(":",tipp!Q70)))&gt;left(tipp!Q70,find(":",tipp!Q70)-1),2,"x"))=tipp!$I70,tipp!$J70*pontozas!$B$1)+if(left(tipp!Q70,find(":",tipp!Q70)-1)-right(tipp!Q70,(len(tipp!Q70)-find(":",tipp!Q70)))=tipp!$G70-tipp!$H70,pontozas!$B$2,0)+if(tipp!Q70=tipp!$F70,pontozas!$B$3),""),"")</f>
        <v/>
      </c>
      <c r="I71" t="str">
        <f>if(I$1&lt;&gt;"",iferror(if(if(left(tipp!R70,find(":",tipp!R70)-1)&gt;right(tipp!R70,(len(tipp!R70)-find(":",tipp!R70))),1,if(right(tipp!R70,(len(tipp!R70)-find(":",tipp!R70)))&gt;left(tipp!R70,find(":",tipp!R70)-1),2,"x"))=tipp!$I70,tipp!$J70*pontozas!$B$1)+if(left(tipp!R70,find(":",tipp!R70)-1)-right(tipp!R70,(len(tipp!R70)-find(":",tipp!R70)))=tipp!$G70-tipp!$H70,pontozas!$B$2,0)+if(tipp!R70=tipp!$F70,pontozas!$B$3),""),"")</f>
        <v/>
      </c>
      <c r="J71" t="str">
        <f>if(J$1&lt;&gt;"",iferror(if(if(left(tipp!S70,find(":",tipp!S70)-1)&gt;right(tipp!S70,(len(tipp!S70)-find(":",tipp!S70))),1,if(right(tipp!S70,(len(tipp!S70)-find(":",tipp!S70)))&gt;left(tipp!S70,find(":",tipp!S70)-1),2,"x"))=tipp!$I70,tipp!$J70*pontozas!$B$1)+if(left(tipp!S70,find(":",tipp!S70)-1)-right(tipp!S70,(len(tipp!S70)-find(":",tipp!S70)))=tipp!$G70-tipp!$H70,pontozas!$B$2,0)+if(tipp!S70=tipp!$F70,pontozas!$B$3),""),"")</f>
        <v/>
      </c>
      <c r="K71" t="str">
        <f>if(K$1&lt;&gt;"",iferror(if(if(left(tipp!T70,find(":",tipp!T70)-1)&gt;right(tipp!T70,(len(tipp!T70)-find(":",tipp!T70))),1,if(right(tipp!T70,(len(tipp!T70)-find(":",tipp!T70)))&gt;left(tipp!T70,find(":",tipp!T70)-1),2,"x"))=tipp!$I70,tipp!$J70*pontozas!$B$1)+if(left(tipp!T70,find(":",tipp!T70)-1)-right(tipp!T70,(len(tipp!T70)-find(":",tipp!T70)))=tipp!$G70-tipp!$H70,pontozas!$B$2,0)+if(tipp!T70=tipp!$F70,pontozas!$B$3),""),"")</f>
        <v/>
      </c>
      <c r="L71" t="str">
        <f>if(L$1&lt;&gt;"",iferror(if(if(left(tipp!U70,find(":",tipp!U70)-1)&gt;right(tipp!U70,(len(tipp!U70)-find(":",tipp!U70))),1,if(right(tipp!U70,(len(tipp!U70)-find(":",tipp!U70)))&gt;left(tipp!U70,find(":",tipp!U70)-1),2,"x"))=tipp!$I70,tipp!$J70*pontozas!$B$1)+if(left(tipp!U70,find(":",tipp!U70)-1)-right(tipp!U70,(len(tipp!U70)-find(":",tipp!U70)))=tipp!$G70-tipp!$H70,pontozas!$B$2,0)+if(tipp!U70=tipp!$F70,pontozas!$B$3),""),"")</f>
        <v/>
      </c>
      <c r="M71" t="str">
        <f>if(M$1&lt;&gt;"",iferror(if(if(left(tipp!V70,find(":",tipp!V70)-1)&gt;right(tipp!V70,(len(tipp!V70)-find(":",tipp!V70))),1,if(right(tipp!V70,(len(tipp!V70)-find(":",tipp!V70)))&gt;left(tipp!V70,find(":",tipp!V70)-1),2,"x"))=tipp!$I70,tipp!$J70*pontozas!$B$1)+if(left(tipp!V70,find(":",tipp!V70)-1)-right(tipp!V70,(len(tipp!V70)-find(":",tipp!V70)))=tipp!$G70-tipp!$H70,pontozas!$B$2,0)+if(tipp!V70=tipp!$F70,pontozas!$B$3),""),"")</f>
        <v/>
      </c>
      <c r="N71" t="str">
        <f>if(N$1&lt;&gt;"",iferror(if(if(left(tipp!W70,find(":",tipp!W70)-1)&gt;right(tipp!W70,(len(tipp!W70)-find(":",tipp!W70))),1,if(right(tipp!W70,(len(tipp!W70)-find(":",tipp!W70)))&gt;left(tipp!W70,find(":",tipp!W70)-1),2,"x"))=tipp!$I70,tipp!$J70*pontozas!$B$1)+if(left(tipp!W70,find(":",tipp!W70)-1)-right(tipp!W70,(len(tipp!W70)-find(":",tipp!W70)))=tipp!$G70-tipp!$H70,pontozas!$B$2,0)+if(tipp!W70=tipp!$F70,pontozas!$B$3),""),"")</f>
        <v/>
      </c>
      <c r="O71" t="str">
        <f>if(O$1&lt;&gt;"",iferror(if(if(left(tipp!X70,find(":",tipp!X70)-1)&gt;right(tipp!X70,(len(tipp!X70)-find(":",tipp!X70))),1,if(right(tipp!X70,(len(tipp!X70)-find(":",tipp!X70)))&gt;left(tipp!X70,find(":",tipp!X70)-1),2,"x"))=tipp!$I70,tipp!$J70*pontozas!$B$1)+if(left(tipp!X70,find(":",tipp!X70)-1)-right(tipp!X70,(len(tipp!X70)-find(":",tipp!X70)))=tipp!$G70-tipp!$H70,pontozas!$B$2,0)+if(tipp!X70=tipp!$F70,pontozas!$B$3),""),"")</f>
        <v/>
      </c>
    </row>
    <row r="72">
      <c r="A72" t="str">
        <f>CONCATENATE(tipp!A71&amp;" : "&amp;tipp!B71)</f>
        <v> : </v>
      </c>
      <c r="B72" t="str">
        <f>if(B$1&lt;&gt;"",iferror(if(if(left(tipp!K71,find(":",tipp!K71)-1)&gt;right(tipp!K71,(len(tipp!K71)-find(":",tipp!K71))),1,if(right(tipp!K71,(len(tipp!K71)-find(":",tipp!K71)))&gt;left(tipp!K71,find(":",tipp!K71)-1),2,"x"))=tipp!$I71,tipp!$J71*pontozas!$B$1)+if(left(tipp!K71,find(":",tipp!K71)-1)-right(tipp!K71,(len(tipp!K71)-find(":",tipp!K71)))=tipp!$G71-tipp!$H71,pontozas!$B$2,0)+if(tipp!K71=tipp!$F71,pontozas!$B$3),""),"")</f>
        <v/>
      </c>
      <c r="C72" t="str">
        <f>if(C$1&lt;&gt;"",iferror(if(if(left(tipp!L71,find(":",tipp!L71)-1)&gt;right(tipp!L71,(len(tipp!L71)-find(":",tipp!L71))),1,if(right(tipp!L71,(len(tipp!L71)-find(":",tipp!L71)))&gt;left(tipp!L71,find(":",tipp!L71)-1),2,"x"))=tipp!$I71,tipp!$J71*pontozas!$B$1)+if(left(tipp!L71,find(":",tipp!L71)-1)-right(tipp!L71,(len(tipp!L71)-find(":",tipp!L71)))=tipp!$G71-tipp!$H71,pontozas!$B$2,0)+if(tipp!L71=tipp!$F71,pontozas!$B$3),""),"")</f>
        <v/>
      </c>
      <c r="D72" t="str">
        <f>if(D$1&lt;&gt;"",iferror(if(if(left(tipp!M71,find(":",tipp!M71)-1)&gt;right(tipp!M71,(len(tipp!M71)-find(":",tipp!M71))),1,if(right(tipp!M71,(len(tipp!M71)-find(":",tipp!M71)))&gt;left(tipp!M71,find(":",tipp!M71)-1),2,"x"))=tipp!$I71,tipp!$J71*pontozas!$B$1)+if(left(tipp!M71,find(":",tipp!M71)-1)-right(tipp!M71,(len(tipp!M71)-find(":",tipp!M71)))=tipp!$G71-tipp!$H71,pontozas!$B$2,0)+if(tipp!M71=tipp!$F71,pontozas!$B$3),""),"")</f>
        <v/>
      </c>
      <c r="E72" t="str">
        <f>if(E$1&lt;&gt;"",iferror(if(if(left(tipp!N71,find(":",tipp!N71)-1)&gt;right(tipp!N71,(len(tipp!N71)-find(":",tipp!N71))),1,if(right(tipp!N71,(len(tipp!N71)-find(":",tipp!N71)))&gt;left(tipp!N71,find(":",tipp!N71)-1),2,"x"))=tipp!$I71,tipp!$J71*pontozas!$B$1)+if(left(tipp!N71,find(":",tipp!N71)-1)-right(tipp!N71,(len(tipp!N71)-find(":",tipp!N71)))=tipp!$G71-tipp!$H71,pontozas!$B$2,0)+if(tipp!N71=tipp!$F71,pontozas!$B$3),""),"")</f>
        <v/>
      </c>
      <c r="F72" t="str">
        <f>if(F$1&lt;&gt;"",iferror(if(if(left(tipp!O71,find(":",tipp!O71)-1)&gt;right(tipp!O71,(len(tipp!O71)-find(":",tipp!O71))),1,if(right(tipp!O71,(len(tipp!O71)-find(":",tipp!O71)))&gt;left(tipp!O71,find(":",tipp!O71)-1),2,"x"))=tipp!$I71,tipp!$J71*pontozas!$B$1)+if(left(tipp!O71,find(":",tipp!O71)-1)-right(tipp!O71,(len(tipp!O71)-find(":",tipp!O71)))=tipp!$G71-tipp!$H71,pontozas!$B$2,0)+if(tipp!O71=tipp!$F71,pontozas!$B$3),""),"")</f>
        <v/>
      </c>
      <c r="G72" t="str">
        <f>if(G$1&lt;&gt;"",iferror(if(if(left(tipp!P71,find(":",tipp!P71)-1)&gt;right(tipp!P71,(len(tipp!P71)-find(":",tipp!P71))),1,if(right(tipp!P71,(len(tipp!P71)-find(":",tipp!P71)))&gt;left(tipp!P71,find(":",tipp!P71)-1),2,"x"))=tipp!$I71,tipp!$J71*pontozas!$B$1)+if(left(tipp!P71,find(":",tipp!P71)-1)-right(tipp!P71,(len(tipp!P71)-find(":",tipp!P71)))=tipp!$G71-tipp!$H71,pontozas!$B$2,0)+if(tipp!P71=tipp!$F71,pontozas!$B$3),""),"")</f>
        <v/>
      </c>
      <c r="H72" t="str">
        <f>if(H$1&lt;&gt;"",iferror(if(if(left(tipp!Q71,find(":",tipp!Q71)-1)&gt;right(tipp!Q71,(len(tipp!Q71)-find(":",tipp!Q71))),1,if(right(tipp!Q71,(len(tipp!Q71)-find(":",tipp!Q71)))&gt;left(tipp!Q71,find(":",tipp!Q71)-1),2,"x"))=tipp!$I71,tipp!$J71*pontozas!$B$1)+if(left(tipp!Q71,find(":",tipp!Q71)-1)-right(tipp!Q71,(len(tipp!Q71)-find(":",tipp!Q71)))=tipp!$G71-tipp!$H71,pontozas!$B$2,0)+if(tipp!Q71=tipp!$F71,pontozas!$B$3),""),"")</f>
        <v/>
      </c>
      <c r="I72" t="str">
        <f>if(I$1&lt;&gt;"",iferror(if(if(left(tipp!R71,find(":",tipp!R71)-1)&gt;right(tipp!R71,(len(tipp!R71)-find(":",tipp!R71))),1,if(right(tipp!R71,(len(tipp!R71)-find(":",tipp!R71)))&gt;left(tipp!R71,find(":",tipp!R71)-1),2,"x"))=tipp!$I71,tipp!$J71*pontozas!$B$1)+if(left(tipp!R71,find(":",tipp!R71)-1)-right(tipp!R71,(len(tipp!R71)-find(":",tipp!R71)))=tipp!$G71-tipp!$H71,pontozas!$B$2,0)+if(tipp!R71=tipp!$F71,pontozas!$B$3),""),"")</f>
        <v/>
      </c>
      <c r="J72" t="str">
        <f>if(J$1&lt;&gt;"",iferror(if(if(left(tipp!S71,find(":",tipp!S71)-1)&gt;right(tipp!S71,(len(tipp!S71)-find(":",tipp!S71))),1,if(right(tipp!S71,(len(tipp!S71)-find(":",tipp!S71)))&gt;left(tipp!S71,find(":",tipp!S71)-1),2,"x"))=tipp!$I71,tipp!$J71*pontozas!$B$1)+if(left(tipp!S71,find(":",tipp!S71)-1)-right(tipp!S71,(len(tipp!S71)-find(":",tipp!S71)))=tipp!$G71-tipp!$H71,pontozas!$B$2,0)+if(tipp!S71=tipp!$F71,pontozas!$B$3),""),"")</f>
        <v/>
      </c>
      <c r="K72" t="str">
        <f>if(K$1&lt;&gt;"",iferror(if(if(left(tipp!T71,find(":",tipp!T71)-1)&gt;right(tipp!T71,(len(tipp!T71)-find(":",tipp!T71))),1,if(right(tipp!T71,(len(tipp!T71)-find(":",tipp!T71)))&gt;left(tipp!T71,find(":",tipp!T71)-1),2,"x"))=tipp!$I71,tipp!$J71*pontozas!$B$1)+if(left(tipp!T71,find(":",tipp!T71)-1)-right(tipp!T71,(len(tipp!T71)-find(":",tipp!T71)))=tipp!$G71-tipp!$H71,pontozas!$B$2,0)+if(tipp!T71=tipp!$F71,pontozas!$B$3),""),"")</f>
        <v/>
      </c>
      <c r="L72" t="str">
        <f>if(L$1&lt;&gt;"",iferror(if(if(left(tipp!U71,find(":",tipp!U71)-1)&gt;right(tipp!U71,(len(tipp!U71)-find(":",tipp!U71))),1,if(right(tipp!U71,(len(tipp!U71)-find(":",tipp!U71)))&gt;left(tipp!U71,find(":",tipp!U71)-1),2,"x"))=tipp!$I71,tipp!$J71*pontozas!$B$1)+if(left(tipp!U71,find(":",tipp!U71)-1)-right(tipp!U71,(len(tipp!U71)-find(":",tipp!U71)))=tipp!$G71-tipp!$H71,pontozas!$B$2,0)+if(tipp!U71=tipp!$F71,pontozas!$B$3),""),"")</f>
        <v/>
      </c>
      <c r="M72" t="str">
        <f>if(M$1&lt;&gt;"",iferror(if(if(left(tipp!V71,find(":",tipp!V71)-1)&gt;right(tipp!V71,(len(tipp!V71)-find(":",tipp!V71))),1,if(right(tipp!V71,(len(tipp!V71)-find(":",tipp!V71)))&gt;left(tipp!V71,find(":",tipp!V71)-1),2,"x"))=tipp!$I71,tipp!$J71*pontozas!$B$1)+if(left(tipp!V71,find(":",tipp!V71)-1)-right(tipp!V71,(len(tipp!V71)-find(":",tipp!V71)))=tipp!$G71-tipp!$H71,pontozas!$B$2,0)+if(tipp!V71=tipp!$F71,pontozas!$B$3),""),"")</f>
        <v/>
      </c>
      <c r="N72" t="str">
        <f>if(N$1&lt;&gt;"",iferror(if(if(left(tipp!W71,find(":",tipp!W71)-1)&gt;right(tipp!W71,(len(tipp!W71)-find(":",tipp!W71))),1,if(right(tipp!W71,(len(tipp!W71)-find(":",tipp!W71)))&gt;left(tipp!W71,find(":",tipp!W71)-1),2,"x"))=tipp!$I71,tipp!$J71*pontozas!$B$1)+if(left(tipp!W71,find(":",tipp!W71)-1)-right(tipp!W71,(len(tipp!W71)-find(":",tipp!W71)))=tipp!$G71-tipp!$H71,pontozas!$B$2,0)+if(tipp!W71=tipp!$F71,pontozas!$B$3),""),"")</f>
        <v/>
      </c>
      <c r="O72" t="str">
        <f>if(O$1&lt;&gt;"",iferror(if(if(left(tipp!X71,find(":",tipp!X71)-1)&gt;right(tipp!X71,(len(tipp!X71)-find(":",tipp!X71))),1,if(right(tipp!X71,(len(tipp!X71)-find(":",tipp!X71)))&gt;left(tipp!X71,find(":",tipp!X71)-1),2,"x"))=tipp!$I71,tipp!$J71*pontozas!$B$1)+if(left(tipp!X71,find(":",tipp!X71)-1)-right(tipp!X71,(len(tipp!X71)-find(":",tipp!X71)))=tipp!$G71-tipp!$H71,pontozas!$B$2,0)+if(tipp!X71=tipp!$F71,pontozas!$B$3),""),"")</f>
        <v/>
      </c>
    </row>
    <row r="73">
      <c r="A73" t="str">
        <f>CONCATENATE(tipp!A72&amp;" : "&amp;tipp!B72)</f>
        <v> : </v>
      </c>
      <c r="B73" t="str">
        <f>if(B$1&lt;&gt;"",iferror(if(if(left(tipp!K72,find(":",tipp!K72)-1)&gt;right(tipp!K72,(len(tipp!K72)-find(":",tipp!K72))),1,if(right(tipp!K72,(len(tipp!K72)-find(":",tipp!K72)))&gt;left(tipp!K72,find(":",tipp!K72)-1),2,"x"))=tipp!$I72,tipp!$J72*pontozas!$B$1)+if(left(tipp!K72,find(":",tipp!K72)-1)-right(tipp!K72,(len(tipp!K72)-find(":",tipp!K72)))=tipp!$G72-tipp!$H72,pontozas!$B$2,0)+if(tipp!K72=tipp!$F72,pontozas!$B$3),""),"")</f>
        <v/>
      </c>
      <c r="C73" t="str">
        <f>if(C$1&lt;&gt;"",iferror(if(if(left(tipp!L72,find(":",tipp!L72)-1)&gt;right(tipp!L72,(len(tipp!L72)-find(":",tipp!L72))),1,if(right(tipp!L72,(len(tipp!L72)-find(":",tipp!L72)))&gt;left(tipp!L72,find(":",tipp!L72)-1),2,"x"))=tipp!$I72,tipp!$J72*pontozas!$B$1)+if(left(tipp!L72,find(":",tipp!L72)-1)-right(tipp!L72,(len(tipp!L72)-find(":",tipp!L72)))=tipp!$G72-tipp!$H72,pontozas!$B$2,0)+if(tipp!L72=tipp!$F72,pontozas!$B$3),""),"")</f>
        <v/>
      </c>
      <c r="D73" t="str">
        <f>if(D$1&lt;&gt;"",iferror(if(if(left(tipp!M72,find(":",tipp!M72)-1)&gt;right(tipp!M72,(len(tipp!M72)-find(":",tipp!M72))),1,if(right(tipp!M72,(len(tipp!M72)-find(":",tipp!M72)))&gt;left(tipp!M72,find(":",tipp!M72)-1),2,"x"))=tipp!$I72,tipp!$J72*pontozas!$B$1)+if(left(tipp!M72,find(":",tipp!M72)-1)-right(tipp!M72,(len(tipp!M72)-find(":",tipp!M72)))=tipp!$G72-tipp!$H72,pontozas!$B$2,0)+if(tipp!M72=tipp!$F72,pontozas!$B$3),""),"")</f>
        <v/>
      </c>
      <c r="E73" t="str">
        <f>if(E$1&lt;&gt;"",iferror(if(if(left(tipp!N72,find(":",tipp!N72)-1)&gt;right(tipp!N72,(len(tipp!N72)-find(":",tipp!N72))),1,if(right(tipp!N72,(len(tipp!N72)-find(":",tipp!N72)))&gt;left(tipp!N72,find(":",tipp!N72)-1),2,"x"))=tipp!$I72,tipp!$J72*pontozas!$B$1)+if(left(tipp!N72,find(":",tipp!N72)-1)-right(tipp!N72,(len(tipp!N72)-find(":",tipp!N72)))=tipp!$G72-tipp!$H72,pontozas!$B$2,0)+if(tipp!N72=tipp!$F72,pontozas!$B$3),""),"")</f>
        <v/>
      </c>
      <c r="F73" t="str">
        <f>if(F$1&lt;&gt;"",iferror(if(if(left(tipp!O72,find(":",tipp!O72)-1)&gt;right(tipp!O72,(len(tipp!O72)-find(":",tipp!O72))),1,if(right(tipp!O72,(len(tipp!O72)-find(":",tipp!O72)))&gt;left(tipp!O72,find(":",tipp!O72)-1),2,"x"))=tipp!$I72,tipp!$J72*pontozas!$B$1)+if(left(tipp!O72,find(":",tipp!O72)-1)-right(tipp!O72,(len(tipp!O72)-find(":",tipp!O72)))=tipp!$G72-tipp!$H72,pontozas!$B$2,0)+if(tipp!O72=tipp!$F72,pontozas!$B$3),""),"")</f>
        <v/>
      </c>
      <c r="G73" t="str">
        <f>if(G$1&lt;&gt;"",iferror(if(if(left(tipp!P72,find(":",tipp!P72)-1)&gt;right(tipp!P72,(len(tipp!P72)-find(":",tipp!P72))),1,if(right(tipp!P72,(len(tipp!P72)-find(":",tipp!P72)))&gt;left(tipp!P72,find(":",tipp!P72)-1),2,"x"))=tipp!$I72,tipp!$J72*pontozas!$B$1)+if(left(tipp!P72,find(":",tipp!P72)-1)-right(tipp!P72,(len(tipp!P72)-find(":",tipp!P72)))=tipp!$G72-tipp!$H72,pontozas!$B$2,0)+if(tipp!P72=tipp!$F72,pontozas!$B$3),""),"")</f>
        <v/>
      </c>
      <c r="H73" t="str">
        <f>if(H$1&lt;&gt;"",iferror(if(if(left(tipp!Q72,find(":",tipp!Q72)-1)&gt;right(tipp!Q72,(len(tipp!Q72)-find(":",tipp!Q72))),1,if(right(tipp!Q72,(len(tipp!Q72)-find(":",tipp!Q72)))&gt;left(tipp!Q72,find(":",tipp!Q72)-1),2,"x"))=tipp!$I72,tipp!$J72*pontozas!$B$1)+if(left(tipp!Q72,find(":",tipp!Q72)-1)-right(tipp!Q72,(len(tipp!Q72)-find(":",tipp!Q72)))=tipp!$G72-tipp!$H72,pontozas!$B$2,0)+if(tipp!Q72=tipp!$F72,pontozas!$B$3),""),"")</f>
        <v/>
      </c>
      <c r="I73" t="str">
        <f>if(I$1&lt;&gt;"",iferror(if(if(left(tipp!R72,find(":",tipp!R72)-1)&gt;right(tipp!R72,(len(tipp!R72)-find(":",tipp!R72))),1,if(right(tipp!R72,(len(tipp!R72)-find(":",tipp!R72)))&gt;left(tipp!R72,find(":",tipp!R72)-1),2,"x"))=tipp!$I72,tipp!$J72*pontozas!$B$1)+if(left(tipp!R72,find(":",tipp!R72)-1)-right(tipp!R72,(len(tipp!R72)-find(":",tipp!R72)))=tipp!$G72-tipp!$H72,pontozas!$B$2,0)+if(tipp!R72=tipp!$F72,pontozas!$B$3),""),"")</f>
        <v/>
      </c>
      <c r="J73" t="str">
        <f>if(J$1&lt;&gt;"",iferror(if(if(left(tipp!S72,find(":",tipp!S72)-1)&gt;right(tipp!S72,(len(tipp!S72)-find(":",tipp!S72))),1,if(right(tipp!S72,(len(tipp!S72)-find(":",tipp!S72)))&gt;left(tipp!S72,find(":",tipp!S72)-1),2,"x"))=tipp!$I72,tipp!$J72*pontozas!$B$1)+if(left(tipp!S72,find(":",tipp!S72)-1)-right(tipp!S72,(len(tipp!S72)-find(":",tipp!S72)))=tipp!$G72-tipp!$H72,pontozas!$B$2,0)+if(tipp!S72=tipp!$F72,pontozas!$B$3),""),"")</f>
        <v/>
      </c>
      <c r="K73" t="str">
        <f>if(K$1&lt;&gt;"",iferror(if(if(left(tipp!T72,find(":",tipp!T72)-1)&gt;right(tipp!T72,(len(tipp!T72)-find(":",tipp!T72))),1,if(right(tipp!T72,(len(tipp!T72)-find(":",tipp!T72)))&gt;left(tipp!T72,find(":",tipp!T72)-1),2,"x"))=tipp!$I72,tipp!$J72*pontozas!$B$1)+if(left(tipp!T72,find(":",tipp!T72)-1)-right(tipp!T72,(len(tipp!T72)-find(":",tipp!T72)))=tipp!$G72-tipp!$H72,pontozas!$B$2,0)+if(tipp!T72=tipp!$F72,pontozas!$B$3),""),"")</f>
        <v/>
      </c>
      <c r="L73" t="str">
        <f>if(L$1&lt;&gt;"",iferror(if(if(left(tipp!U72,find(":",tipp!U72)-1)&gt;right(tipp!U72,(len(tipp!U72)-find(":",tipp!U72))),1,if(right(tipp!U72,(len(tipp!U72)-find(":",tipp!U72)))&gt;left(tipp!U72,find(":",tipp!U72)-1),2,"x"))=tipp!$I72,tipp!$J72*pontozas!$B$1)+if(left(tipp!U72,find(":",tipp!U72)-1)-right(tipp!U72,(len(tipp!U72)-find(":",tipp!U72)))=tipp!$G72-tipp!$H72,pontozas!$B$2,0)+if(tipp!U72=tipp!$F72,pontozas!$B$3),""),"")</f>
        <v/>
      </c>
      <c r="M73" t="str">
        <f>if(M$1&lt;&gt;"",iferror(if(if(left(tipp!V72,find(":",tipp!V72)-1)&gt;right(tipp!V72,(len(tipp!V72)-find(":",tipp!V72))),1,if(right(tipp!V72,(len(tipp!V72)-find(":",tipp!V72)))&gt;left(tipp!V72,find(":",tipp!V72)-1),2,"x"))=tipp!$I72,tipp!$J72*pontozas!$B$1)+if(left(tipp!V72,find(":",tipp!V72)-1)-right(tipp!V72,(len(tipp!V72)-find(":",tipp!V72)))=tipp!$G72-tipp!$H72,pontozas!$B$2,0)+if(tipp!V72=tipp!$F72,pontozas!$B$3),""),"")</f>
        <v/>
      </c>
      <c r="N73" t="str">
        <f>if(N$1&lt;&gt;"",iferror(if(if(left(tipp!W72,find(":",tipp!W72)-1)&gt;right(tipp!W72,(len(tipp!W72)-find(":",tipp!W72))),1,if(right(tipp!W72,(len(tipp!W72)-find(":",tipp!W72)))&gt;left(tipp!W72,find(":",tipp!W72)-1),2,"x"))=tipp!$I72,tipp!$J72*pontozas!$B$1)+if(left(tipp!W72,find(":",tipp!W72)-1)-right(tipp!W72,(len(tipp!W72)-find(":",tipp!W72)))=tipp!$G72-tipp!$H72,pontozas!$B$2,0)+if(tipp!W72=tipp!$F72,pontozas!$B$3),""),"")</f>
        <v/>
      </c>
      <c r="O73" t="str">
        <f>if(O$1&lt;&gt;"",iferror(if(if(left(tipp!X72,find(":",tipp!X72)-1)&gt;right(tipp!X72,(len(tipp!X72)-find(":",tipp!X72))),1,if(right(tipp!X72,(len(tipp!X72)-find(":",tipp!X72)))&gt;left(tipp!X72,find(":",tipp!X72)-1),2,"x"))=tipp!$I72,tipp!$J72*pontozas!$B$1)+if(left(tipp!X72,find(":",tipp!X72)-1)-right(tipp!X72,(len(tipp!X72)-find(":",tipp!X72)))=tipp!$G72-tipp!$H72,pontozas!$B$2,0)+if(tipp!X72=tipp!$F72,pontozas!$B$3),""),"")</f>
        <v/>
      </c>
    </row>
    <row r="74">
      <c r="A74" t="str">
        <f>CONCATENATE(tipp!A73&amp;" : "&amp;tipp!B73)</f>
        <v> : </v>
      </c>
      <c r="B74" t="str">
        <f>if(B$1&lt;&gt;"",iferror(if(if(left(tipp!K73,find(":",tipp!K73)-1)&gt;right(tipp!K73,(len(tipp!K73)-find(":",tipp!K73))),1,if(right(tipp!K73,(len(tipp!K73)-find(":",tipp!K73)))&gt;left(tipp!K73,find(":",tipp!K73)-1),2,"x"))=tipp!$I73,tipp!$J73*pontozas!$B$1)+if(left(tipp!K73,find(":",tipp!K73)-1)-right(tipp!K73,(len(tipp!K73)-find(":",tipp!K73)))=tipp!$G73-tipp!$H73,pontozas!$B$2,0)+if(tipp!K73=tipp!$F73,pontozas!$B$3),""),"")</f>
        <v/>
      </c>
      <c r="C74" t="str">
        <f>if(C$1&lt;&gt;"",iferror(if(if(left(tipp!L73,find(":",tipp!L73)-1)&gt;right(tipp!L73,(len(tipp!L73)-find(":",tipp!L73))),1,if(right(tipp!L73,(len(tipp!L73)-find(":",tipp!L73)))&gt;left(tipp!L73,find(":",tipp!L73)-1),2,"x"))=tipp!$I73,tipp!$J73*pontozas!$B$1)+if(left(tipp!L73,find(":",tipp!L73)-1)-right(tipp!L73,(len(tipp!L73)-find(":",tipp!L73)))=tipp!$G73-tipp!$H73,pontozas!$B$2,0)+if(tipp!L73=tipp!$F73,pontozas!$B$3),""),"")</f>
        <v/>
      </c>
      <c r="D74" t="str">
        <f>if(D$1&lt;&gt;"",iferror(if(if(left(tipp!M73,find(":",tipp!M73)-1)&gt;right(tipp!M73,(len(tipp!M73)-find(":",tipp!M73))),1,if(right(tipp!M73,(len(tipp!M73)-find(":",tipp!M73)))&gt;left(tipp!M73,find(":",tipp!M73)-1),2,"x"))=tipp!$I73,tipp!$J73*pontozas!$B$1)+if(left(tipp!M73,find(":",tipp!M73)-1)-right(tipp!M73,(len(tipp!M73)-find(":",tipp!M73)))=tipp!$G73-tipp!$H73,pontozas!$B$2,0)+if(tipp!M73=tipp!$F73,pontozas!$B$3),""),"")</f>
        <v/>
      </c>
      <c r="E74" t="str">
        <f>if(E$1&lt;&gt;"",iferror(if(if(left(tipp!N73,find(":",tipp!N73)-1)&gt;right(tipp!N73,(len(tipp!N73)-find(":",tipp!N73))),1,if(right(tipp!N73,(len(tipp!N73)-find(":",tipp!N73)))&gt;left(tipp!N73,find(":",tipp!N73)-1),2,"x"))=tipp!$I73,tipp!$J73*pontozas!$B$1)+if(left(tipp!N73,find(":",tipp!N73)-1)-right(tipp!N73,(len(tipp!N73)-find(":",tipp!N73)))=tipp!$G73-tipp!$H73,pontozas!$B$2,0)+if(tipp!N73=tipp!$F73,pontozas!$B$3),""),"")</f>
        <v/>
      </c>
      <c r="F74" t="str">
        <f>if(F$1&lt;&gt;"",iferror(if(if(left(tipp!O73,find(":",tipp!O73)-1)&gt;right(tipp!O73,(len(tipp!O73)-find(":",tipp!O73))),1,if(right(tipp!O73,(len(tipp!O73)-find(":",tipp!O73)))&gt;left(tipp!O73,find(":",tipp!O73)-1),2,"x"))=tipp!$I73,tipp!$J73*pontozas!$B$1)+if(left(tipp!O73,find(":",tipp!O73)-1)-right(tipp!O73,(len(tipp!O73)-find(":",tipp!O73)))=tipp!$G73-tipp!$H73,pontozas!$B$2,0)+if(tipp!O73=tipp!$F73,pontozas!$B$3),""),"")</f>
        <v/>
      </c>
      <c r="G74" t="str">
        <f>if(G$1&lt;&gt;"",iferror(if(if(left(tipp!P73,find(":",tipp!P73)-1)&gt;right(tipp!P73,(len(tipp!P73)-find(":",tipp!P73))),1,if(right(tipp!P73,(len(tipp!P73)-find(":",tipp!P73)))&gt;left(tipp!P73,find(":",tipp!P73)-1),2,"x"))=tipp!$I73,tipp!$J73*pontozas!$B$1)+if(left(tipp!P73,find(":",tipp!P73)-1)-right(tipp!P73,(len(tipp!P73)-find(":",tipp!P73)))=tipp!$G73-tipp!$H73,pontozas!$B$2,0)+if(tipp!P73=tipp!$F73,pontozas!$B$3),""),"")</f>
        <v/>
      </c>
      <c r="H74" t="str">
        <f>if(H$1&lt;&gt;"",iferror(if(if(left(tipp!Q73,find(":",tipp!Q73)-1)&gt;right(tipp!Q73,(len(tipp!Q73)-find(":",tipp!Q73))),1,if(right(tipp!Q73,(len(tipp!Q73)-find(":",tipp!Q73)))&gt;left(tipp!Q73,find(":",tipp!Q73)-1),2,"x"))=tipp!$I73,tipp!$J73*pontozas!$B$1)+if(left(tipp!Q73,find(":",tipp!Q73)-1)-right(tipp!Q73,(len(tipp!Q73)-find(":",tipp!Q73)))=tipp!$G73-tipp!$H73,pontozas!$B$2,0)+if(tipp!Q73=tipp!$F73,pontozas!$B$3),""),"")</f>
        <v/>
      </c>
      <c r="I74" t="str">
        <f>if(I$1&lt;&gt;"",iferror(if(if(left(tipp!R73,find(":",tipp!R73)-1)&gt;right(tipp!R73,(len(tipp!R73)-find(":",tipp!R73))),1,if(right(tipp!R73,(len(tipp!R73)-find(":",tipp!R73)))&gt;left(tipp!R73,find(":",tipp!R73)-1),2,"x"))=tipp!$I73,tipp!$J73*pontozas!$B$1)+if(left(tipp!R73,find(":",tipp!R73)-1)-right(tipp!R73,(len(tipp!R73)-find(":",tipp!R73)))=tipp!$G73-tipp!$H73,pontozas!$B$2,0)+if(tipp!R73=tipp!$F73,pontozas!$B$3),""),"")</f>
        <v/>
      </c>
      <c r="J74" t="str">
        <f>if(J$1&lt;&gt;"",iferror(if(if(left(tipp!S73,find(":",tipp!S73)-1)&gt;right(tipp!S73,(len(tipp!S73)-find(":",tipp!S73))),1,if(right(tipp!S73,(len(tipp!S73)-find(":",tipp!S73)))&gt;left(tipp!S73,find(":",tipp!S73)-1),2,"x"))=tipp!$I73,tipp!$J73*pontozas!$B$1)+if(left(tipp!S73,find(":",tipp!S73)-1)-right(tipp!S73,(len(tipp!S73)-find(":",tipp!S73)))=tipp!$G73-tipp!$H73,pontozas!$B$2,0)+if(tipp!S73=tipp!$F73,pontozas!$B$3),""),"")</f>
        <v/>
      </c>
      <c r="K74" t="str">
        <f>if(K$1&lt;&gt;"",iferror(if(if(left(tipp!T73,find(":",tipp!T73)-1)&gt;right(tipp!T73,(len(tipp!T73)-find(":",tipp!T73))),1,if(right(tipp!T73,(len(tipp!T73)-find(":",tipp!T73)))&gt;left(tipp!T73,find(":",tipp!T73)-1),2,"x"))=tipp!$I73,tipp!$J73*pontozas!$B$1)+if(left(tipp!T73,find(":",tipp!T73)-1)-right(tipp!T73,(len(tipp!T73)-find(":",tipp!T73)))=tipp!$G73-tipp!$H73,pontozas!$B$2,0)+if(tipp!T73=tipp!$F73,pontozas!$B$3),""),"")</f>
        <v/>
      </c>
      <c r="L74" t="str">
        <f>if(L$1&lt;&gt;"",iferror(if(if(left(tipp!U73,find(":",tipp!U73)-1)&gt;right(tipp!U73,(len(tipp!U73)-find(":",tipp!U73))),1,if(right(tipp!U73,(len(tipp!U73)-find(":",tipp!U73)))&gt;left(tipp!U73,find(":",tipp!U73)-1),2,"x"))=tipp!$I73,tipp!$J73*pontozas!$B$1)+if(left(tipp!U73,find(":",tipp!U73)-1)-right(tipp!U73,(len(tipp!U73)-find(":",tipp!U73)))=tipp!$G73-tipp!$H73,pontozas!$B$2,0)+if(tipp!U73=tipp!$F73,pontozas!$B$3),""),"")</f>
        <v/>
      </c>
      <c r="M74" t="str">
        <f>if(M$1&lt;&gt;"",iferror(if(if(left(tipp!V73,find(":",tipp!V73)-1)&gt;right(tipp!V73,(len(tipp!V73)-find(":",tipp!V73))),1,if(right(tipp!V73,(len(tipp!V73)-find(":",tipp!V73)))&gt;left(tipp!V73,find(":",tipp!V73)-1),2,"x"))=tipp!$I73,tipp!$J73*pontozas!$B$1)+if(left(tipp!V73,find(":",tipp!V73)-1)-right(tipp!V73,(len(tipp!V73)-find(":",tipp!V73)))=tipp!$G73-tipp!$H73,pontozas!$B$2,0)+if(tipp!V73=tipp!$F73,pontozas!$B$3),""),"")</f>
        <v/>
      </c>
      <c r="N74" t="str">
        <f>if(N$1&lt;&gt;"",iferror(if(if(left(tipp!W73,find(":",tipp!W73)-1)&gt;right(tipp!W73,(len(tipp!W73)-find(":",tipp!W73))),1,if(right(tipp!W73,(len(tipp!W73)-find(":",tipp!W73)))&gt;left(tipp!W73,find(":",tipp!W73)-1),2,"x"))=tipp!$I73,tipp!$J73*pontozas!$B$1)+if(left(tipp!W73,find(":",tipp!W73)-1)-right(tipp!W73,(len(tipp!W73)-find(":",tipp!W73)))=tipp!$G73-tipp!$H73,pontozas!$B$2,0)+if(tipp!W73=tipp!$F73,pontozas!$B$3),""),"")</f>
        <v/>
      </c>
      <c r="O74" t="str">
        <f>if(O$1&lt;&gt;"",iferror(if(if(left(tipp!X73,find(":",tipp!X73)-1)&gt;right(tipp!X73,(len(tipp!X73)-find(":",tipp!X73))),1,if(right(tipp!X73,(len(tipp!X73)-find(":",tipp!X73)))&gt;left(tipp!X73,find(":",tipp!X73)-1),2,"x"))=tipp!$I73,tipp!$J73*pontozas!$B$1)+if(left(tipp!X73,find(":",tipp!X73)-1)-right(tipp!X73,(len(tipp!X73)-find(":",tipp!X73)))=tipp!$G73-tipp!$H73,pontozas!$B$2,0)+if(tipp!X73=tipp!$F73,pontozas!$B$3),""),"")</f>
        <v/>
      </c>
    </row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6.5"/>
  </cols>
  <sheetData>
    <row r="1">
      <c r="A1" s="9" t="s">
        <v>94</v>
      </c>
      <c r="B1" s="9">
        <v>1.0</v>
      </c>
    </row>
    <row r="2">
      <c r="A2" s="9" t="s">
        <v>95</v>
      </c>
      <c r="B2" s="9">
        <v>1.0</v>
      </c>
    </row>
    <row r="3">
      <c r="A3" s="9" t="s">
        <v>96</v>
      </c>
      <c r="B3" s="9">
        <v>1.0</v>
      </c>
    </row>
    <row r="4">
      <c r="A4" s="9" t="s">
        <v>97</v>
      </c>
      <c r="B4" s="9">
        <v>2.0</v>
      </c>
    </row>
    <row r="5">
      <c r="A5" s="9" t="s">
        <v>98</v>
      </c>
      <c r="B5" s="9">
        <v>2.0</v>
      </c>
    </row>
    <row r="8">
      <c r="A8" s="9" t="s">
        <v>58</v>
      </c>
    </row>
    <row r="9">
      <c r="A9" s="18" t="s">
        <v>32</v>
      </c>
    </row>
    <row r="10">
      <c r="A10" s="18" t="s">
        <v>21</v>
      </c>
    </row>
    <row r="11">
      <c r="A11" s="18" t="s">
        <v>23</v>
      </c>
    </row>
    <row r="12">
      <c r="A12" s="18" t="s">
        <v>42</v>
      </c>
    </row>
    <row r="13">
      <c r="A13" s="18" t="s">
        <v>16</v>
      </c>
    </row>
    <row r="14">
      <c r="A14" s="18" t="s">
        <v>24</v>
      </c>
    </row>
    <row r="15">
      <c r="A15" s="18" t="s">
        <v>20</v>
      </c>
    </row>
    <row r="16">
      <c r="A16" s="18" t="s">
        <v>56</v>
      </c>
    </row>
    <row r="17">
      <c r="A17" s="18" t="s">
        <v>55</v>
      </c>
    </row>
    <row r="18">
      <c r="A18" s="18" t="s">
        <v>18</v>
      </c>
    </row>
    <row r="19">
      <c r="A19" s="18" t="s">
        <v>52</v>
      </c>
    </row>
    <row r="20">
      <c r="A20" s="9" t="s">
        <v>46</v>
      </c>
    </row>
    <row r="21">
      <c r="A21" s="18" t="s">
        <v>15</v>
      </c>
    </row>
    <row r="22">
      <c r="A22" s="18" t="s">
        <v>45</v>
      </c>
    </row>
    <row r="23">
      <c r="A23" s="18" t="s">
        <v>17</v>
      </c>
    </row>
    <row r="25">
      <c r="A25" s="26" t="s">
        <v>99</v>
      </c>
      <c r="B25" s="9" t="s">
        <v>15</v>
      </c>
    </row>
    <row r="26">
      <c r="A26" s="26" t="s">
        <v>100</v>
      </c>
      <c r="B26" s="9" t="s">
        <v>45</v>
      </c>
    </row>
    <row r="27">
      <c r="A27" s="26" t="s">
        <v>101</v>
      </c>
      <c r="B27" s="9" t="s">
        <v>17</v>
      </c>
    </row>
  </sheetData>
  <dataValidations>
    <dataValidation type="list" allowBlank="1" sqref="B25:B27">
      <formula1>pontozas!$A$8:$A$23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8"/>
      <c r="B3" s="29"/>
      <c r="C3" s="28"/>
      <c r="D3" s="30"/>
      <c r="E3" s="28"/>
    </row>
    <row r="4">
      <c r="A4" s="28"/>
      <c r="B4" s="29"/>
      <c r="C4" s="28"/>
      <c r="D4" s="30"/>
      <c r="E4" s="28"/>
      <c r="F4" s="9" t="s">
        <v>102</v>
      </c>
      <c r="G4" s="9" t="s">
        <v>103</v>
      </c>
      <c r="I4" s="9">
        <v>1.0</v>
      </c>
      <c r="J4" s="9" t="s">
        <v>104</v>
      </c>
      <c r="K4" s="9">
        <v>2.0</v>
      </c>
    </row>
    <row r="5">
      <c r="A5" s="31" t="s">
        <v>105</v>
      </c>
      <c r="B5" s="31" t="s">
        <v>106</v>
      </c>
      <c r="C5" s="31" t="s">
        <v>107</v>
      </c>
      <c r="D5" s="32" t="s">
        <v>108</v>
      </c>
      <c r="F5" t="str">
        <f>IFERROR(__xludf.DUMMYFUNCTION("REGEXEXTRACT(A5,""(.*)\s\("")"),"Canada")</f>
        <v>Canada</v>
      </c>
      <c r="G5" t="str">
        <f>IFERROR(__xludf.DUMMYFUNCTION("REGEXEXTRACT(C5,""(.*)\s\("")"),"USA")</f>
        <v>USA</v>
      </c>
      <c r="I5" t="str">
        <f>IFERROR(__xludf.DUMMYFUNCTION("REGEXEXTRACT(A5, ""\((.*)\)"")"),"1.44")</f>
        <v>1.44</v>
      </c>
      <c r="J5" t="str">
        <f>IFERROR(__xludf.DUMMYFUNCTION("REGEXEXTRACT(B5, ""\((.*)\)"")"),"5.75")</f>
        <v>5.75</v>
      </c>
      <c r="K5" t="str">
        <f>IFERROR(__xludf.DUMMYFUNCTION("REGEXEXTRACT(C5, ""\((.*)\)"")"),"5.6")</f>
        <v>5.6</v>
      </c>
    </row>
    <row r="6">
      <c r="A6" s="31" t="s">
        <v>109</v>
      </c>
      <c r="B6" s="31" t="s">
        <v>110</v>
      </c>
      <c r="C6" s="31" t="s">
        <v>111</v>
      </c>
      <c r="D6" s="32" t="s">
        <v>108</v>
      </c>
      <c r="F6" t="str">
        <f>IFERROR(__xludf.DUMMYFUNCTION("REGEXEXTRACT(A6,""(.*)\s\("")"),"Latvia")</f>
        <v>Latvia</v>
      </c>
      <c r="G6" t="str">
        <f>IFERROR(__xludf.DUMMYFUNCTION("REGEXEXTRACT(C6,""(.*)\s\("")"),"Sweden")</f>
        <v>Sweden</v>
      </c>
      <c r="I6" t="str">
        <f>IFERROR(__xludf.DUMMYFUNCTION("REGEXEXTRACT(A6, ""\((.*)\)"")"),"12")</f>
        <v>12</v>
      </c>
      <c r="J6" t="str">
        <f>IFERROR(__xludf.DUMMYFUNCTION("REGEXEXTRACT(B6, ""\((.*)\)"")"),"9")</f>
        <v>9</v>
      </c>
      <c r="K6" t="str">
        <f>IFERROR(__xludf.DUMMYFUNCTION("REGEXEXTRACT(C6, ""\((.*)\)"")"),"1.2")</f>
        <v>1.2</v>
      </c>
    </row>
    <row r="7">
      <c r="A7" s="31" t="s">
        <v>112</v>
      </c>
      <c r="B7" s="31" t="s">
        <v>113</v>
      </c>
      <c r="C7" s="31" t="s">
        <v>114</v>
      </c>
      <c r="D7" s="32" t="s">
        <v>108</v>
      </c>
      <c r="E7" s="28"/>
      <c r="F7" t="str">
        <f>IFERROR(__xludf.DUMMYFUNCTION("REGEXEXTRACT(A7,""(.*)\s\("")"),"Belarus")</f>
        <v>Belarus</v>
      </c>
      <c r="G7" t="str">
        <f>IFERROR(__xludf.DUMMYFUNCTION("REGEXEXTRACT(C7,""(.*)\s\("")"),"Finland")</f>
        <v>Finland</v>
      </c>
      <c r="I7" t="str">
        <f>IFERROR(__xludf.DUMMYFUNCTION("REGEXEXTRACT(A7, ""\((.*)\)"")"),"9.25")</f>
        <v>9.25</v>
      </c>
      <c r="J7" t="str">
        <f>IFERROR(__xludf.DUMMYFUNCTION("REGEXEXTRACT(B7, ""\((.*)\)"")"),"7")</f>
        <v>7</v>
      </c>
      <c r="K7" t="str">
        <f>IFERROR(__xludf.DUMMYFUNCTION("REGEXEXTRACT(C7, ""\((.*)\)"")"),"1.3")</f>
        <v>1.3</v>
      </c>
    </row>
    <row r="8">
      <c r="A8" s="31" t="s">
        <v>115</v>
      </c>
      <c r="B8" s="31" t="s">
        <v>116</v>
      </c>
      <c r="C8" s="31" t="s">
        <v>117</v>
      </c>
      <c r="D8" s="32" t="s">
        <v>108</v>
      </c>
      <c r="E8" s="28"/>
      <c r="F8" t="str">
        <f>IFERROR(__xludf.DUMMYFUNCTION("REGEXEXTRACT(A8,""(.*)\s\("")"),"Russia")</f>
        <v>Russia</v>
      </c>
      <c r="G8" t="str">
        <f>IFERROR(__xludf.DUMMYFUNCTION("REGEXEXTRACT(C8,""(.*)\s\("")"),"Czech Republic")</f>
        <v>Czech Republic</v>
      </c>
      <c r="I8" t="str">
        <f>IFERROR(__xludf.DUMMYFUNCTION("REGEXEXTRACT(A8, ""\((.*)\)"")"),"1.57")</f>
        <v>1.57</v>
      </c>
      <c r="J8" t="str">
        <f>IFERROR(__xludf.DUMMYFUNCTION("REGEXEXTRACT(B8, ""\((.*)\)"")"),"5.25")</f>
        <v>5.25</v>
      </c>
      <c r="K8" t="str">
        <f>IFERROR(__xludf.DUMMYFUNCTION("REGEXEXTRACT(C8, ""\((.*)\)"")"),"5")</f>
        <v>5</v>
      </c>
    </row>
    <row r="9">
      <c r="A9" s="31" t="s">
        <v>118</v>
      </c>
      <c r="B9" s="31" t="s">
        <v>119</v>
      </c>
      <c r="C9" s="31" t="s">
        <v>120</v>
      </c>
      <c r="D9" s="32" t="s">
        <v>108</v>
      </c>
      <c r="E9" s="28"/>
      <c r="F9" t="str">
        <f>IFERROR(__xludf.DUMMYFUNCTION("REGEXEXTRACT(A9,""(.*)\s\("")"),"Hungary")</f>
        <v>Hungary</v>
      </c>
      <c r="G9" t="str">
        <f>IFERROR(__xludf.DUMMYFUNCTION("REGEXEXTRACT(C9,""(.*)\s\("")"),"Slovakia")</f>
        <v>Slovakia</v>
      </c>
      <c r="I9" t="str">
        <f>IFERROR(__xludf.DUMMYFUNCTION("REGEXEXTRACT(A9, ""\((.*)\)"")"),"15")</f>
        <v>15</v>
      </c>
      <c r="J9" t="str">
        <f>IFERROR(__xludf.DUMMYFUNCTION("REGEXEXTRACT(B9, ""\((.*)\)"")"),"10")</f>
        <v>10</v>
      </c>
      <c r="K9" t="str">
        <f>IFERROR(__xludf.DUMMYFUNCTION("REGEXEXTRACT(C9, ""\((.*)\)"")"),"1.18")</f>
        <v>1.18</v>
      </c>
    </row>
    <row r="10">
      <c r="A10" s="31" t="s">
        <v>121</v>
      </c>
      <c r="B10" s="31" t="s">
        <v>122</v>
      </c>
      <c r="C10" s="31" t="s">
        <v>123</v>
      </c>
      <c r="D10" s="32" t="s">
        <v>108</v>
      </c>
      <c r="F10" t="str">
        <f>IFERROR(__xludf.DUMMYFUNCTION("REGEXEXTRACT(A10,""(.*)\s\("")"),"Kazakhstan")</f>
        <v>Kazakhstan</v>
      </c>
      <c r="G10" t="str">
        <f>IFERROR(__xludf.DUMMYFUNCTION("REGEXEXTRACT(C10,""(.*)\s\("")"),"Switzerland")</f>
        <v>Switzerland</v>
      </c>
      <c r="I10" t="str">
        <f>IFERROR(__xludf.DUMMYFUNCTION("REGEXEXTRACT(A10, ""\((.*)\)"")"),"6.1")</f>
        <v>6.1</v>
      </c>
      <c r="J10" t="str">
        <f>IFERROR(__xludf.DUMMYFUNCTION("REGEXEXTRACT(B10, ""\((.*)\)"")"),"5.65")</f>
        <v>5.65</v>
      </c>
      <c r="K10" t="str">
        <f>IFERROR(__xludf.DUMMYFUNCTION("REGEXEXTRACT(C10, ""\((.*)\)"")"),"1.5")</f>
        <v>1.5</v>
      </c>
    </row>
    <row r="11">
      <c r="A11" s="31" t="s">
        <v>124</v>
      </c>
      <c r="B11" s="31" t="s">
        <v>125</v>
      </c>
      <c r="C11" s="31" t="s">
        <v>126</v>
      </c>
      <c r="D11" s="32" t="s">
        <v>108</v>
      </c>
      <c r="F11" t="str">
        <f>IFERROR(__xludf.DUMMYFUNCTION("REGEXEXTRACT(A11,""(.*)\s\("")"),"Denmark")</f>
        <v>Denmark</v>
      </c>
      <c r="G11" t="str">
        <f>IFERROR(__xludf.DUMMYFUNCTION("REGEXEXTRACT(C11,""(.*)\s\("")"),"Norway")</f>
        <v>Norway</v>
      </c>
      <c r="I11" t="str">
        <f>IFERROR(__xludf.DUMMYFUNCTION("REGEXEXTRACT(A11, ""\((.*)\)"")"),"3")</f>
        <v>3</v>
      </c>
      <c r="J11" t="str">
        <f>IFERROR(__xludf.DUMMYFUNCTION("REGEXEXTRACT(B11, ""\((.*)\)"")"),"4.33")</f>
        <v>4.33</v>
      </c>
      <c r="K11" t="str">
        <f>IFERROR(__xludf.DUMMYFUNCTION("REGEXEXTRACT(C11, ""\((.*)\)"")"),"2.15")</f>
        <v>2.15</v>
      </c>
    </row>
    <row r="12">
      <c r="A12" s="31" t="s">
        <v>127</v>
      </c>
      <c r="B12" s="31" t="s">
        <v>128</v>
      </c>
      <c r="C12" s="31" t="s">
        <v>129</v>
      </c>
      <c r="D12" s="32" t="s">
        <v>108</v>
      </c>
      <c r="F12" t="str">
        <f>IFERROR(__xludf.DUMMYFUNCTION("REGEXEXTRACT(A12,""(.*)\s\("")"),"Germany")</f>
        <v>Germany</v>
      </c>
      <c r="G12" t="str">
        <f>IFERROR(__xludf.DUMMYFUNCTION("REGEXEXTRACT(C12,""(.*)\s\("")"),"France")</f>
        <v>France</v>
      </c>
      <c r="I12" t="str">
        <f>IFERROR(__xludf.DUMMYFUNCTION("REGEXEXTRACT(A12, ""\((.*)\)"")"),"1.95")</f>
        <v>1.95</v>
      </c>
      <c r="J12" t="str">
        <f>IFERROR(__xludf.DUMMYFUNCTION("REGEXEXTRACT(B12, ""\((.*)\)"")"),"4.5")</f>
        <v>4.5</v>
      </c>
      <c r="K12" t="str">
        <f>IFERROR(__xludf.DUMMYFUNCTION("REGEXEXTRACT(C12, ""\((.*)\)"")"),"3.4")</f>
        <v>3.4</v>
      </c>
    </row>
    <row r="13">
      <c r="A13" s="31" t="s">
        <v>130</v>
      </c>
      <c r="B13" s="31" t="s">
        <v>110</v>
      </c>
      <c r="C13" s="31" t="s">
        <v>131</v>
      </c>
      <c r="D13" s="32" t="s">
        <v>108</v>
      </c>
      <c r="F13" t="str">
        <f>IFERROR(__xludf.DUMMYFUNCTION("REGEXEXTRACT(A13,""(.*)\s\("")"),"Czech Republic")</f>
        <v>Czech Republic</v>
      </c>
      <c r="G13" t="str">
        <f>IFERROR(__xludf.DUMMYFUNCTION("REGEXEXTRACT(C13,""(.*)\s\("")"),"Latvia")</f>
        <v>Latvia</v>
      </c>
      <c r="I13" t="str">
        <f>IFERROR(__xludf.DUMMYFUNCTION("REGEXEXTRACT(A13, ""\((.*)\)"")"),"1.25")</f>
        <v>1.25</v>
      </c>
      <c r="J13" t="str">
        <f>IFERROR(__xludf.DUMMYFUNCTION("REGEXEXTRACT(B13, ""\((.*)\)"")"),"9")</f>
        <v>9</v>
      </c>
      <c r="K13" t="str">
        <f>IFERROR(__xludf.DUMMYFUNCTION("REGEXEXTRACT(C13, ""\((.*)\)"")"),"9.5")</f>
        <v>9.5</v>
      </c>
    </row>
    <row r="14">
      <c r="A14" s="31" t="s">
        <v>132</v>
      </c>
      <c r="B14" s="31" t="s">
        <v>106</v>
      </c>
      <c r="C14" s="31" t="s">
        <v>133</v>
      </c>
      <c r="D14" s="32" t="s">
        <v>108</v>
      </c>
      <c r="F14" t="str">
        <f>IFERROR(__xludf.DUMMYFUNCTION("REGEXEXTRACT(A14,""(.*)\s\("")"),"USA")</f>
        <v>USA</v>
      </c>
      <c r="G14" t="str">
        <f>IFERROR(__xludf.DUMMYFUNCTION("REGEXEXTRACT(C14,""(.*)\s\("")"),"Belarus")</f>
        <v>Belarus</v>
      </c>
      <c r="I14" t="str">
        <f>IFERROR(__xludf.DUMMYFUNCTION("REGEXEXTRACT(A14, ""\((.*)\)"")"),"1.45")</f>
        <v>1.45</v>
      </c>
      <c r="J14" t="str">
        <f>IFERROR(__xludf.DUMMYFUNCTION("REGEXEXTRACT(B14, ""\((.*)\)"")"),"5.75")</f>
        <v>5.75</v>
      </c>
      <c r="K14" t="str">
        <f>IFERROR(__xludf.DUMMYFUNCTION("REGEXEXTRACT(C14, ""\((.*)\)"")"),"5.5")</f>
        <v>5.5</v>
      </c>
    </row>
    <row r="15">
      <c r="A15" s="31" t="s">
        <v>134</v>
      </c>
      <c r="B15" s="31" t="s">
        <v>135</v>
      </c>
      <c r="C15" s="31" t="s">
        <v>136</v>
      </c>
      <c r="D15" s="32" t="s">
        <v>108</v>
      </c>
      <c r="E15" s="28"/>
      <c r="F15" t="str">
        <f>IFERROR(__xludf.DUMMYFUNCTION("REGEXEXTRACT(A15,""(.*)\s\("")"),"Canada")</f>
        <v>Canada</v>
      </c>
      <c r="G15" t="str">
        <f>IFERROR(__xludf.DUMMYFUNCTION("REGEXEXTRACT(C15,""(.*)\s\("")"),"Hungary")</f>
        <v>Hungary</v>
      </c>
      <c r="I15" t="str">
        <f>IFERROR(__xludf.DUMMYFUNCTION("REGEXEXTRACT(A15, ""\((.*)\)"")"),"1.01")</f>
        <v>1.01</v>
      </c>
      <c r="J15" t="str">
        <f>IFERROR(__xludf.DUMMYFUNCTION("REGEXEXTRACT(B15, ""\((.*)\)"")"),"23")</f>
        <v>23</v>
      </c>
      <c r="K15" t="str">
        <f>IFERROR(__xludf.DUMMYFUNCTION("REGEXEXTRACT(C15, ""\((.*)\)"")"),"41")</f>
        <v>41</v>
      </c>
    </row>
    <row r="16">
      <c r="A16" s="31" t="s">
        <v>137</v>
      </c>
      <c r="B16" s="31" t="s">
        <v>138</v>
      </c>
      <c r="C16" s="31" t="s">
        <v>139</v>
      </c>
      <c r="D16" s="32" t="s">
        <v>108</v>
      </c>
      <c r="E16" s="28"/>
      <c r="F16" t="str">
        <f>IFERROR(__xludf.DUMMYFUNCTION("REGEXEXTRACT(A16,""(.*)\s\("")"),"Russia")</f>
        <v>Russia</v>
      </c>
      <c r="G16" t="str">
        <f>IFERROR(__xludf.DUMMYFUNCTION("REGEXEXTRACT(C16,""(.*)\s\("")"),"Kazakhstan")</f>
        <v>Kazakhstan</v>
      </c>
      <c r="I16" t="str">
        <f>IFERROR(__xludf.DUMMYFUNCTION("REGEXEXTRACT(A16, ""\((.*)\)"")"),"1.07")</f>
        <v>1.07</v>
      </c>
      <c r="J16" t="str">
        <f>IFERROR(__xludf.DUMMYFUNCTION("REGEXEXTRACT(B16, ""\((.*)\)"")"),"17")</f>
        <v>17</v>
      </c>
      <c r="K16" t="str">
        <f>IFERROR(__xludf.DUMMYFUNCTION("REGEXEXTRACT(C16, ""\((.*)\)"")"),"28")</f>
        <v>28</v>
      </c>
    </row>
    <row r="17">
      <c r="A17" s="31" t="s">
        <v>140</v>
      </c>
      <c r="B17" s="31" t="s">
        <v>113</v>
      </c>
      <c r="C17" s="31" t="s">
        <v>141</v>
      </c>
      <c r="D17" s="32" t="s">
        <v>108</v>
      </c>
      <c r="E17" s="28"/>
      <c r="F17" t="str">
        <f>IFERROR(__xludf.DUMMYFUNCTION("REGEXEXTRACT(A17,""(.*)\s\("")"),"Germany")</f>
        <v>Germany</v>
      </c>
      <c r="G17" t="str">
        <f>IFERROR(__xludf.DUMMYFUNCTION("REGEXEXTRACT(C17,""(.*)\s\("")"),"Finland")</f>
        <v>Finland</v>
      </c>
      <c r="I17" t="str">
        <f>IFERROR(__xludf.DUMMYFUNCTION("REGEXEXTRACT(A17, ""\((.*)\)"")"),"8.5")</f>
        <v>8.5</v>
      </c>
      <c r="J17" t="str">
        <f>IFERROR(__xludf.DUMMYFUNCTION("REGEXEXTRACT(B17, ""\((.*)\)"")"),"7")</f>
        <v>7</v>
      </c>
      <c r="K17" t="str">
        <f>IFERROR(__xludf.DUMMYFUNCTION("REGEXEXTRACT(C17, ""\((.*)\)"")"),"1.29")</f>
        <v>1.29</v>
      </c>
    </row>
    <row r="18">
      <c r="A18" s="31" t="s">
        <v>142</v>
      </c>
      <c r="B18" s="31" t="s">
        <v>143</v>
      </c>
      <c r="C18" s="31" t="s">
        <v>144</v>
      </c>
      <c r="D18" s="32" t="s">
        <v>108</v>
      </c>
      <c r="E18" s="28"/>
      <c r="F18" t="str">
        <f>IFERROR(__xludf.DUMMYFUNCTION("REGEXEXTRACT(A18,""(.*)\s\("")"),"Switzerland")</f>
        <v>Switzerland</v>
      </c>
      <c r="G18" t="str">
        <f>IFERROR(__xludf.DUMMYFUNCTION("REGEXEXTRACT(C18,""(.*)\s\("")"),"Norway")</f>
        <v>Norway</v>
      </c>
      <c r="I18" t="str">
        <f>IFERROR(__xludf.DUMMYFUNCTION("REGEXEXTRACT(A18, ""\((.*)\)"")"),"1.67")</f>
        <v>1.67</v>
      </c>
      <c r="J18" t="str">
        <f>IFERROR(__xludf.DUMMYFUNCTION("REGEXEXTRACT(B18, ""\((.*)\)"")"),"4.6")</f>
        <v>4.6</v>
      </c>
      <c r="K18" t="str">
        <f>IFERROR(__xludf.DUMMYFUNCTION("REGEXEXTRACT(C18, ""\((.*)\)"")"),"4.3")</f>
        <v>4.3</v>
      </c>
    </row>
    <row r="19">
      <c r="A19" s="31" t="s">
        <v>145</v>
      </c>
      <c r="B19" s="31" t="s">
        <v>146</v>
      </c>
      <c r="C19" s="31" t="s">
        <v>111</v>
      </c>
      <c r="D19" s="32" t="s">
        <v>108</v>
      </c>
      <c r="F19" t="str">
        <f>IFERROR(__xludf.DUMMYFUNCTION("REGEXEXTRACT(A19,""(.*)\s\("")"),"Denmark")</f>
        <v>Denmark</v>
      </c>
      <c r="G19" t="str">
        <f>IFERROR(__xludf.DUMMYFUNCTION("REGEXEXTRACT(C19,""(.*)\s\("")"),"Sweden")</f>
        <v>Sweden</v>
      </c>
      <c r="I19" t="str">
        <f>IFERROR(__xludf.DUMMYFUNCTION("REGEXEXTRACT(A19, ""\((.*)\)"")"),"10")</f>
        <v>10</v>
      </c>
      <c r="J19" t="str">
        <f>IFERROR(__xludf.DUMMYFUNCTION("REGEXEXTRACT(B19, ""\((.*)\)"")"),"8.5")</f>
        <v>8.5</v>
      </c>
      <c r="K19" t="str">
        <f>IFERROR(__xludf.DUMMYFUNCTION("REGEXEXTRACT(C19, ""\((.*)\)"")"),"1.2")</f>
        <v>1.2</v>
      </c>
    </row>
    <row r="20">
      <c r="A20" s="31" t="s">
        <v>147</v>
      </c>
      <c r="B20" s="31" t="s">
        <v>106</v>
      </c>
      <c r="C20" s="31" t="s">
        <v>148</v>
      </c>
      <c r="D20" s="32" t="s">
        <v>108</v>
      </c>
      <c r="F20" t="str">
        <f>IFERROR(__xludf.DUMMYFUNCTION("REGEXEXTRACT(A20,""(.*)\s\("")"),"Slovakia")</f>
        <v>Slovakia</v>
      </c>
      <c r="G20" t="str">
        <f>IFERROR(__xludf.DUMMYFUNCTION("REGEXEXTRACT(C20,""(.*)\s\("")"),"France")</f>
        <v>France</v>
      </c>
      <c r="I20" t="str">
        <f>IFERROR(__xludf.DUMMYFUNCTION("REGEXEXTRACT(A20, ""\((.*)\)"")"),"1.45")</f>
        <v>1.45</v>
      </c>
      <c r="J20" t="str">
        <f>IFERROR(__xludf.DUMMYFUNCTION("REGEXEXTRACT(B20, ""\((.*)\)"")"),"5.75")</f>
        <v>5.75</v>
      </c>
      <c r="K20" t="str">
        <f>IFERROR(__xludf.DUMMYFUNCTION("REGEXEXTRACT(C20, ""\((.*)\)"")"),"6")</f>
        <v>6</v>
      </c>
    </row>
    <row r="21">
      <c r="A21" s="31" t="s">
        <v>149</v>
      </c>
      <c r="B21" s="31" t="s">
        <v>150</v>
      </c>
      <c r="C21" s="31" t="s">
        <v>151</v>
      </c>
      <c r="D21" s="32" t="s">
        <v>108</v>
      </c>
      <c r="F21" t="str">
        <f>IFERROR(__xludf.DUMMYFUNCTION("REGEXEXTRACT(A21,""(.*)\s\("")"),"Canada")</f>
        <v>Canada</v>
      </c>
      <c r="G21" t="str">
        <f>IFERROR(__xludf.DUMMYFUNCTION("REGEXEXTRACT(C21,""(.*)\s\("")"),"Belarus")</f>
        <v>Belarus</v>
      </c>
      <c r="I21" t="str">
        <f>IFERROR(__xludf.DUMMYFUNCTION("REGEXEXTRACT(A21, ""\((.*)\)"")"),"1.1")</f>
        <v>1.1</v>
      </c>
      <c r="J21" t="str">
        <f>IFERROR(__xludf.DUMMYFUNCTION("REGEXEXTRACT(B21, ""\((.*)\)"")"),"12")</f>
        <v>12</v>
      </c>
      <c r="K21" t="str">
        <f>IFERROR(__xludf.DUMMYFUNCTION("REGEXEXTRACT(C21, ""\((.*)\)"")"),"16")</f>
        <v>16</v>
      </c>
    </row>
    <row r="22">
      <c r="A22" s="31" t="s">
        <v>152</v>
      </c>
      <c r="B22" s="31" t="s">
        <v>153</v>
      </c>
      <c r="C22" s="31" t="s">
        <v>154</v>
      </c>
      <c r="D22" s="32" t="s">
        <v>108</v>
      </c>
      <c r="E22" s="28"/>
      <c r="F22" t="str">
        <f>IFERROR(__xludf.DUMMYFUNCTION("REGEXEXTRACT(A22,""(.*)\s\("")"),"Russia")</f>
        <v>Russia</v>
      </c>
      <c r="G22" t="str">
        <f>IFERROR(__xludf.DUMMYFUNCTION("REGEXEXTRACT(C22,""(.*)\s\("")"),"Latvia")</f>
        <v>Latvia</v>
      </c>
      <c r="I22" t="str">
        <f>IFERROR(__xludf.DUMMYFUNCTION("REGEXEXTRACT(A22, ""\((.*)\)"")"),"1.09")</f>
        <v>1.09</v>
      </c>
      <c r="J22" t="str">
        <f>IFERROR(__xludf.DUMMYFUNCTION("REGEXEXTRACT(B22, ""\((.*)\)"")"),"19")</f>
        <v>19</v>
      </c>
      <c r="K22" t="str">
        <f>IFERROR(__xludf.DUMMYFUNCTION("REGEXEXTRACT(C22, ""\((.*)\)"")"),"26")</f>
        <v>26</v>
      </c>
    </row>
    <row r="23">
      <c r="A23" s="31" t="s">
        <v>155</v>
      </c>
      <c r="B23" s="31" t="s">
        <v>143</v>
      </c>
      <c r="C23" s="31" t="s">
        <v>156</v>
      </c>
      <c r="D23" s="32" t="s">
        <v>108</v>
      </c>
      <c r="E23" s="28"/>
      <c r="F23" t="str">
        <f>IFERROR(__xludf.DUMMYFUNCTION("REGEXEXTRACT(A23,""(.*)\s\("")"),"Czech Republic")</f>
        <v>Czech Republic</v>
      </c>
      <c r="G23" t="str">
        <f>IFERROR(__xludf.DUMMYFUNCTION("REGEXEXTRACT(C23,""(.*)\s\("")"),"Sweden")</f>
        <v>Sweden</v>
      </c>
      <c r="I23" t="str">
        <f>IFERROR(__xludf.DUMMYFUNCTION("REGEXEXTRACT(A23, ""\((.*)\)"")"),"2.95")</f>
        <v>2.95</v>
      </c>
      <c r="J23" t="str">
        <f>IFERROR(__xludf.DUMMYFUNCTION("REGEXEXTRACT(B23, ""\((.*)\)"")"),"4.6")</f>
        <v>4.6</v>
      </c>
      <c r="K23" t="str">
        <f>IFERROR(__xludf.DUMMYFUNCTION("REGEXEXTRACT(C23, ""\((.*)\)"")"),"2.1")</f>
        <v>2.1</v>
      </c>
    </row>
    <row r="24">
      <c r="A24" s="31" t="s">
        <v>157</v>
      </c>
      <c r="B24" s="31" t="s">
        <v>158</v>
      </c>
      <c r="C24" s="31" t="s">
        <v>159</v>
      </c>
      <c r="D24" s="32" t="s">
        <v>108</v>
      </c>
      <c r="F24" t="str">
        <f>IFERROR(__xludf.DUMMYFUNCTION("REGEXEXTRACT(A24,""(.*)\s\("")"),"USA")</f>
        <v>USA</v>
      </c>
      <c r="G24" t="str">
        <f>IFERROR(__xludf.DUMMYFUNCTION("REGEXEXTRACT(C24,""(.*)\s\("")"),"Finland")</f>
        <v>Finland</v>
      </c>
      <c r="I24" t="str">
        <f>IFERROR(__xludf.DUMMYFUNCTION("REGEXEXTRACT(A24, ""\((.*)\)"")"),"3.8")</f>
        <v>3.8</v>
      </c>
      <c r="J24" t="str">
        <f>IFERROR(__xludf.DUMMYFUNCTION("REGEXEXTRACT(B24, ""\((.*)\)"")"),"4.65")</f>
        <v>4.65</v>
      </c>
      <c r="K24" t="str">
        <f>IFERROR(__xludf.DUMMYFUNCTION("REGEXEXTRACT(C24, ""\((.*)\)"")"),"1.73")</f>
        <v>1.73</v>
      </c>
    </row>
    <row r="25">
      <c r="A25" s="31" t="s">
        <v>160</v>
      </c>
      <c r="B25" s="31" t="s">
        <v>161</v>
      </c>
      <c r="C25" s="31" t="s">
        <v>162</v>
      </c>
      <c r="D25" s="32" t="s">
        <v>108</v>
      </c>
      <c r="F25" t="str">
        <f>IFERROR(__xludf.DUMMYFUNCTION("REGEXEXTRACT(A25,""(.*)\s\("")"),"Denmark")</f>
        <v>Denmark</v>
      </c>
      <c r="G25" t="str">
        <f>IFERROR(__xludf.DUMMYFUNCTION("REGEXEXTRACT(C25,""(.*)\s\("")"),"Switzerland")</f>
        <v>Switzerland</v>
      </c>
      <c r="I25" t="str">
        <f>IFERROR(__xludf.DUMMYFUNCTION("REGEXEXTRACT(A25, ""\((.*)\)"")"),"4.3")</f>
        <v>4.3</v>
      </c>
      <c r="J25" t="str">
        <f>IFERROR(__xludf.DUMMYFUNCTION("REGEXEXTRACT(B25, ""\((.*)\)"")"),"5")</f>
        <v>5</v>
      </c>
      <c r="K25" t="str">
        <f>IFERROR(__xludf.DUMMYFUNCTION("REGEXEXTRACT(C25, ""\((.*)\)"")"),"1.63")</f>
        <v>1.63</v>
      </c>
    </row>
    <row r="26">
      <c r="A26" s="31" t="s">
        <v>163</v>
      </c>
      <c r="B26" s="31" t="s">
        <v>143</v>
      </c>
      <c r="C26" s="31" t="s">
        <v>164</v>
      </c>
      <c r="D26" s="32" t="s">
        <v>108</v>
      </c>
      <c r="E26" s="28"/>
      <c r="F26" t="str">
        <f>IFERROR(__xludf.DUMMYFUNCTION("REGEXEXTRACT(A26,""(.*)\s\("")"),"Germany")</f>
        <v>Germany</v>
      </c>
      <c r="G26" t="str">
        <f>IFERROR(__xludf.DUMMYFUNCTION("REGEXEXTRACT(C26,""(.*)\s\("")"),"Slovakia")</f>
        <v>Slovakia</v>
      </c>
      <c r="I26" t="str">
        <f>IFERROR(__xludf.DUMMYFUNCTION("REGEXEXTRACT(A26, ""\((.*)\)"")"),"4")</f>
        <v>4</v>
      </c>
      <c r="J26" t="str">
        <f>IFERROR(__xludf.DUMMYFUNCTION("REGEXEXTRACT(B26, ""\((.*)\)"")"),"4.6")</f>
        <v>4.6</v>
      </c>
      <c r="K26" t="str">
        <f>IFERROR(__xludf.DUMMYFUNCTION("REGEXEXTRACT(C26, ""\((.*)\)"")"),"1.69")</f>
        <v>1.69</v>
      </c>
    </row>
    <row r="27">
      <c r="A27" s="31" t="s">
        <v>165</v>
      </c>
      <c r="B27" s="31" t="s">
        <v>106</v>
      </c>
      <c r="C27" s="31" t="s">
        <v>166</v>
      </c>
      <c r="D27" s="32" t="s">
        <v>108</v>
      </c>
      <c r="E27" s="28"/>
      <c r="F27" t="str">
        <f>IFERROR(__xludf.DUMMYFUNCTION("REGEXEXTRACT(A27,""(.*)\s\("")"),"France")</f>
        <v>France</v>
      </c>
      <c r="G27" t="str">
        <f>IFERROR(__xludf.DUMMYFUNCTION("REGEXEXTRACT(C27,""(.*)\s\("")"),"Hungary")</f>
        <v>Hungary</v>
      </c>
      <c r="I27" t="str">
        <f>IFERROR(__xludf.DUMMYFUNCTION("REGEXEXTRACT(A27, ""\((.*)\)"")"),"1.53")</f>
        <v>1.53</v>
      </c>
      <c r="J27" t="str">
        <f>IFERROR(__xludf.DUMMYFUNCTION("REGEXEXTRACT(B27, ""\((.*)\)"")"),"5.75")</f>
        <v>5.75</v>
      </c>
      <c r="K27" t="str">
        <f>IFERROR(__xludf.DUMMYFUNCTION("REGEXEXTRACT(C27, ""\((.*)\)"")"),"4.75")</f>
        <v>4.75</v>
      </c>
    </row>
    <row r="28">
      <c r="A28" s="31" t="s">
        <v>167</v>
      </c>
      <c r="B28" s="31" t="s">
        <v>116</v>
      </c>
      <c r="C28" s="31" t="s">
        <v>168</v>
      </c>
      <c r="D28" s="32" t="s">
        <v>108</v>
      </c>
      <c r="E28" s="28"/>
      <c r="F28" t="str">
        <f>IFERROR(__xludf.DUMMYFUNCTION("REGEXEXTRACT(A28,""(.*)\s\("")"),"Norway")</f>
        <v>Norway</v>
      </c>
      <c r="G28" t="str">
        <f>IFERROR(__xludf.DUMMYFUNCTION("REGEXEXTRACT(C28,""(.*)\s\("")"),"Kazakhstan")</f>
        <v>Kazakhstan</v>
      </c>
      <c r="I28" t="str">
        <f>IFERROR(__xludf.DUMMYFUNCTION("REGEXEXTRACT(A28, ""\((.*)\)"")"),"1.69")</f>
        <v>1.69</v>
      </c>
      <c r="J28" t="str">
        <f>IFERROR(__xludf.DUMMYFUNCTION("REGEXEXTRACT(B28, ""\((.*)\)"")"),"5.25")</f>
        <v>5.25</v>
      </c>
      <c r="K28" t="str">
        <f>IFERROR(__xludf.DUMMYFUNCTION("REGEXEXTRACT(C28, ""\((.*)\)"")"),"4.15")</f>
        <v>4.15</v>
      </c>
    </row>
    <row r="29">
      <c r="A29" s="31" t="s">
        <v>169</v>
      </c>
      <c r="B29" s="31" t="s">
        <v>170</v>
      </c>
      <c r="C29" s="31" t="s">
        <v>164</v>
      </c>
      <c r="D29" s="32" t="s">
        <v>108</v>
      </c>
      <c r="F29" t="str">
        <f>IFERROR(__xludf.DUMMYFUNCTION("REGEXEXTRACT(A29,""(.*)\s\("")"),"Belarus")</f>
        <v>Belarus</v>
      </c>
      <c r="G29" t="str">
        <f>IFERROR(__xludf.DUMMYFUNCTION("REGEXEXTRACT(C29,""(.*)\s\("")"),"Slovakia")</f>
        <v>Slovakia</v>
      </c>
      <c r="I29" t="str">
        <f>IFERROR(__xludf.DUMMYFUNCTION("REGEXEXTRACT(A29, ""\((.*)\)"")"),"3.85")</f>
        <v>3.85</v>
      </c>
      <c r="J29" t="str">
        <f>IFERROR(__xludf.DUMMYFUNCTION("REGEXEXTRACT(B29, ""\((.*)\)"")"),"4.75")</f>
        <v>4.75</v>
      </c>
      <c r="K29" t="str">
        <f>IFERROR(__xludf.DUMMYFUNCTION("REGEXEXTRACT(C29, ""\((.*)\)"")"),"1.69")</f>
        <v>1.69</v>
      </c>
    </row>
    <row r="30">
      <c r="A30" s="31" t="s">
        <v>171</v>
      </c>
      <c r="B30" s="31" t="s">
        <v>116</v>
      </c>
      <c r="C30" s="31" t="s">
        <v>172</v>
      </c>
      <c r="D30" s="32" t="s">
        <v>108</v>
      </c>
      <c r="E30" s="28"/>
      <c r="F30" t="str">
        <f>IFERROR(__xludf.DUMMYFUNCTION("REGEXEXTRACT(A30,""(.*)\s\("")"),"Latvia")</f>
        <v>Latvia</v>
      </c>
      <c r="G30" t="str">
        <f>IFERROR(__xludf.DUMMYFUNCTION("REGEXEXTRACT(C30,""(.*)\s\("")"),"Switzerland")</f>
        <v>Switzerland</v>
      </c>
      <c r="I30" t="str">
        <f>IFERROR(__xludf.DUMMYFUNCTION("REGEXEXTRACT(A30, ""\((.*)\)"")"),"4.65")</f>
        <v>4.65</v>
      </c>
      <c r="J30" t="str">
        <f>IFERROR(__xludf.DUMMYFUNCTION("REGEXEXTRACT(B30, ""\((.*)\)"")"),"5.25")</f>
        <v>5.25</v>
      </c>
      <c r="K30" t="str">
        <f>IFERROR(__xludf.DUMMYFUNCTION("REGEXEXTRACT(C30, ""\((.*)\)"")"),"1.53")</f>
        <v>1.53</v>
      </c>
    </row>
    <row r="31">
      <c r="A31" s="31" t="s">
        <v>173</v>
      </c>
      <c r="B31" s="31" t="s">
        <v>174</v>
      </c>
      <c r="C31" s="31" t="s">
        <v>175</v>
      </c>
      <c r="D31" s="32" t="s">
        <v>108</v>
      </c>
      <c r="E31" s="28"/>
      <c r="F31" t="str">
        <f>IFERROR(__xludf.DUMMYFUNCTION("REGEXEXTRACT(A31,""(.*)\s\("")"),"Hungary")</f>
        <v>Hungary</v>
      </c>
      <c r="G31" t="str">
        <f>IFERROR(__xludf.DUMMYFUNCTION("REGEXEXTRACT(C31,""(.*)\s\("")"),"Finland")</f>
        <v>Finland</v>
      </c>
      <c r="I31" t="str">
        <f>IFERROR(__xludf.DUMMYFUNCTION("REGEXEXTRACT(A31, ""\((.*)\)"")"),"28")</f>
        <v>28</v>
      </c>
      <c r="J31" t="str">
        <f>IFERROR(__xludf.DUMMYFUNCTION("REGEXEXTRACT(B31, ""\((.*)\)"")"),"18.5")</f>
        <v>18.5</v>
      </c>
      <c r="K31" t="str">
        <f>IFERROR(__xludf.DUMMYFUNCTION("REGEXEXTRACT(C31, ""\((.*)\)"")"),"1.03")</f>
        <v>1.03</v>
      </c>
    </row>
    <row r="32">
      <c r="A32" s="31" t="s">
        <v>176</v>
      </c>
      <c r="B32" s="31" t="s">
        <v>177</v>
      </c>
      <c r="C32" s="31" t="s">
        <v>178</v>
      </c>
      <c r="D32" s="32" t="s">
        <v>108</v>
      </c>
      <c r="E32" s="28"/>
      <c r="F32" t="str">
        <f>IFERROR(__xludf.DUMMYFUNCTION("REGEXEXTRACT(A32,""(.*)\s\("")"),"Kazakhstan")</f>
        <v>Kazakhstan</v>
      </c>
      <c r="G32" t="str">
        <f>IFERROR(__xludf.DUMMYFUNCTION("REGEXEXTRACT(C32,""(.*)\s\("")"),"Sweden")</f>
        <v>Sweden</v>
      </c>
      <c r="I32" t="str">
        <f>IFERROR(__xludf.DUMMYFUNCTION("REGEXEXTRACT(A32, ""\((.*)\)"")"),"17")</f>
        <v>17</v>
      </c>
      <c r="J32" t="str">
        <f>IFERROR(__xludf.DUMMYFUNCTION("REGEXEXTRACT(B32, ""\((.*)\)"")"),"11.5")</f>
        <v>11.5</v>
      </c>
      <c r="K32" t="str">
        <f>IFERROR(__xludf.DUMMYFUNCTION("REGEXEXTRACT(C32, ""\((.*)\)"")"),"1.12")</f>
        <v>1.12</v>
      </c>
    </row>
    <row r="33">
      <c r="A33" s="31" t="s">
        <v>179</v>
      </c>
      <c r="B33" s="31" t="s">
        <v>180</v>
      </c>
      <c r="C33" s="31" t="s">
        <v>181</v>
      </c>
      <c r="D33" s="32" t="s">
        <v>108</v>
      </c>
      <c r="F33" t="str">
        <f>IFERROR(__xludf.DUMMYFUNCTION("REGEXEXTRACT(A33,""(.*)\s\("")"),"France")</f>
        <v>France</v>
      </c>
      <c r="G33" t="str">
        <f>IFERROR(__xludf.DUMMYFUNCTION("REGEXEXTRACT(C33,""(.*)\s\("")"),"USA")</f>
        <v>USA</v>
      </c>
      <c r="I33" t="str">
        <f>IFERROR(__xludf.DUMMYFUNCTION("REGEXEXTRACT(A33, ""\((.*)\)"")"),"6.7")</f>
        <v>6.7</v>
      </c>
      <c r="J33" t="str">
        <f>IFERROR(__xludf.DUMMYFUNCTION("REGEXEXTRACT(B33, ""\((.*)\)"")"),"6.7")</f>
        <v>6.7</v>
      </c>
      <c r="K33" t="str">
        <f>IFERROR(__xludf.DUMMYFUNCTION("REGEXEXTRACT(C33, ""\((.*)\)"")"),"1.33")</f>
        <v>1.33</v>
      </c>
    </row>
    <row r="34">
      <c r="A34" s="31" t="s">
        <v>182</v>
      </c>
      <c r="B34" s="31" t="s">
        <v>183</v>
      </c>
      <c r="C34" s="31" t="s">
        <v>184</v>
      </c>
      <c r="D34" s="32" t="s">
        <v>108</v>
      </c>
      <c r="F34" t="str">
        <f>IFERROR(__xludf.DUMMYFUNCTION("REGEXEXTRACT(A34,""(.*)\s\("")"),"Norway")</f>
        <v>Norway</v>
      </c>
      <c r="G34" t="str">
        <f>IFERROR(__xludf.DUMMYFUNCTION("REGEXEXTRACT(C34,""(.*)\s\("")"),"Czech Republic")</f>
        <v>Czech Republic</v>
      </c>
      <c r="I34" t="str">
        <f>IFERROR(__xludf.DUMMYFUNCTION("REGEXEXTRACT(A34, ""\((.*)\)"")"),"6.95")</f>
        <v>6.95</v>
      </c>
      <c r="J34" t="str">
        <f>IFERROR(__xludf.DUMMYFUNCTION("REGEXEXTRACT(B34, ""\((.*)\)"")"),"6.5")</f>
        <v>6.5</v>
      </c>
      <c r="K34" t="str">
        <f>IFERROR(__xludf.DUMMYFUNCTION("REGEXEXTRACT(C34, ""\((.*)\)"")"),"1.3")</f>
        <v>1.3</v>
      </c>
    </row>
    <row r="35">
      <c r="A35" s="31" t="s">
        <v>185</v>
      </c>
      <c r="B35" s="31" t="s">
        <v>177</v>
      </c>
      <c r="C35" s="31" t="s">
        <v>186</v>
      </c>
      <c r="D35" s="32" t="s">
        <v>108</v>
      </c>
      <c r="E35" s="28"/>
      <c r="F35" t="str">
        <f>IFERROR(__xludf.DUMMYFUNCTION("REGEXEXTRACT(A35,""(.*)\s\("")"),"Denmark")</f>
        <v>Denmark</v>
      </c>
      <c r="G35" t="str">
        <f>IFERROR(__xludf.DUMMYFUNCTION("REGEXEXTRACT(C35,""(.*)\s\("")"),"Russia")</f>
        <v>Russia</v>
      </c>
      <c r="I35" t="str">
        <f>IFERROR(__xludf.DUMMYFUNCTION("REGEXEXTRACT(A35, ""\((.*)\)"")"),"13.3")</f>
        <v>13.3</v>
      </c>
      <c r="J35" t="str">
        <f>IFERROR(__xludf.DUMMYFUNCTION("REGEXEXTRACT(B35, ""\((.*)\)"")"),"11.5")</f>
        <v>11.5</v>
      </c>
      <c r="K35" t="str">
        <f>IFERROR(__xludf.DUMMYFUNCTION("REGEXEXTRACT(C35, ""\((.*)\)"")"),"1.11")</f>
        <v>1.11</v>
      </c>
    </row>
    <row r="36">
      <c r="A36" s="31" t="s">
        <v>187</v>
      </c>
      <c r="B36" s="31" t="s">
        <v>188</v>
      </c>
      <c r="C36" s="31" t="s">
        <v>149</v>
      </c>
      <c r="D36" s="32" t="s">
        <v>108</v>
      </c>
      <c r="E36" s="28"/>
      <c r="F36" t="str">
        <f>IFERROR(__xludf.DUMMYFUNCTION("REGEXEXTRACT(A36,""(.*)\s\("")"),"Germany")</f>
        <v>Germany</v>
      </c>
      <c r="G36" t="str">
        <f>IFERROR(__xludf.DUMMYFUNCTION("REGEXEXTRACT(C36,""(.*)\s\("")"),"Canada")</f>
        <v>Canada</v>
      </c>
      <c r="I36" t="str">
        <f>IFERROR(__xludf.DUMMYFUNCTION("REGEXEXTRACT(A36, ""\((.*)\)"")"),"15.5")</f>
        <v>15.5</v>
      </c>
      <c r="J36" t="str">
        <f>IFERROR(__xludf.DUMMYFUNCTION("REGEXEXTRACT(B36, ""\((.*)\)"")"),"11")</f>
        <v>11</v>
      </c>
      <c r="K36" t="str">
        <f>IFERROR(__xludf.DUMMYFUNCTION("REGEXEXTRACT(C36, ""\((.*)\)"")"),"1.1")</f>
        <v>1.1</v>
      </c>
    </row>
    <row r="37">
      <c r="A37" s="31" t="s">
        <v>118</v>
      </c>
      <c r="B37" s="31" t="s">
        <v>189</v>
      </c>
      <c r="C37" s="31" t="s">
        <v>190</v>
      </c>
      <c r="D37" s="32" t="s">
        <v>108</v>
      </c>
      <c r="F37" t="str">
        <f>IFERROR(__xludf.DUMMYFUNCTION("REGEXEXTRACT(A37,""(.*)\s\("")"),"Hungary")</f>
        <v>Hungary</v>
      </c>
      <c r="G37" t="str">
        <f>IFERROR(__xludf.DUMMYFUNCTION("REGEXEXTRACT(C37,""(.*)\s\("")"),"USA")</f>
        <v>USA</v>
      </c>
      <c r="I37" t="str">
        <f>IFERROR(__xludf.DUMMYFUNCTION("REGEXEXTRACT(A37, ""\((.*)\)"")"),"15")</f>
        <v>15</v>
      </c>
      <c r="J37" t="str">
        <f>IFERROR(__xludf.DUMMYFUNCTION("REGEXEXTRACT(B37, ""\((.*)\)"")"),"13")</f>
        <v>13</v>
      </c>
      <c r="K37" t="str">
        <f>IFERROR(__xludf.DUMMYFUNCTION("REGEXEXTRACT(C37, ""\((.*)\)"")"),"1.09")</f>
        <v>1.09</v>
      </c>
    </row>
    <row r="38">
      <c r="A38" s="31" t="s">
        <v>191</v>
      </c>
      <c r="B38" s="31" t="s">
        <v>110</v>
      </c>
      <c r="C38" s="31" t="s">
        <v>192</v>
      </c>
      <c r="D38" s="32" t="s">
        <v>108</v>
      </c>
      <c r="F38" t="str">
        <f>IFERROR(__xludf.DUMMYFUNCTION("REGEXEXTRACT(A38,""(.*)\s\("")"),"Kazakhstan")</f>
        <v>Kazakhstan</v>
      </c>
      <c r="G38" t="str">
        <f>IFERROR(__xludf.DUMMYFUNCTION("REGEXEXTRACT(C38,""(.*)\s\("")"),"Czech Republic")</f>
        <v>Czech Republic</v>
      </c>
      <c r="I38" t="str">
        <f>IFERROR(__xludf.DUMMYFUNCTION("REGEXEXTRACT(A38, ""\((.*)\)"")"),"12.5")</f>
        <v>12.5</v>
      </c>
      <c r="J38" t="str">
        <f>IFERROR(__xludf.DUMMYFUNCTION("REGEXEXTRACT(B38, ""\((.*)\)"")"),"9")</f>
        <v>9</v>
      </c>
      <c r="K38" t="str">
        <f>IFERROR(__xludf.DUMMYFUNCTION("REGEXEXTRACT(C38, ""\((.*)\)"")"),"1.14")</f>
        <v>1.14</v>
      </c>
    </row>
    <row r="39">
      <c r="A39" s="31" t="s">
        <v>193</v>
      </c>
      <c r="B39" s="31" t="s">
        <v>194</v>
      </c>
      <c r="C39" s="31" t="s">
        <v>195</v>
      </c>
      <c r="D39" s="32" t="s">
        <v>108</v>
      </c>
      <c r="F39" t="str">
        <f>IFERROR(__xludf.DUMMYFUNCTION("REGEXEXTRACT(A39,""(.*)\s\("")"),"Belarus")</f>
        <v>Belarus</v>
      </c>
      <c r="G39" t="str">
        <f>IFERROR(__xludf.DUMMYFUNCTION("REGEXEXTRACT(C39,""(.*)\s\("")"),"Germany")</f>
        <v>Germany</v>
      </c>
      <c r="I39" t="str">
        <f>IFERROR(__xludf.DUMMYFUNCTION("REGEXEXTRACT(A39, ""\((.*)\)"")"),"2.35")</f>
        <v>2.35</v>
      </c>
      <c r="J39" t="str">
        <f>IFERROR(__xludf.DUMMYFUNCTION("REGEXEXTRACT(B39, ""\((.*)\)"")"),"4.4")</f>
        <v>4.4</v>
      </c>
      <c r="K39" t="str">
        <f>IFERROR(__xludf.DUMMYFUNCTION("REGEXEXTRACT(C39, ""\((.*)\)"")"),"2.4")</f>
        <v>2.4</v>
      </c>
    </row>
    <row r="40">
      <c r="A40" s="31" t="s">
        <v>196</v>
      </c>
      <c r="B40" s="31" t="s">
        <v>197</v>
      </c>
      <c r="C40" s="31" t="s">
        <v>198</v>
      </c>
      <c r="D40" s="32" t="s">
        <v>108</v>
      </c>
      <c r="E40" s="28"/>
      <c r="F40" t="str">
        <f>IFERROR(__xludf.DUMMYFUNCTION("REGEXEXTRACT(A40,""(.*)\s\("")"),"Latvia")</f>
        <v>Latvia</v>
      </c>
      <c r="G40" t="str">
        <f>IFERROR(__xludf.DUMMYFUNCTION("REGEXEXTRACT(C40,""(.*)\s\("")"),"Denmark")</f>
        <v>Denmark</v>
      </c>
      <c r="I40" t="str">
        <f>IFERROR(__xludf.DUMMYFUNCTION("REGEXEXTRACT(A40, ""\((.*)\)"")"),"2.85")</f>
        <v>2.85</v>
      </c>
      <c r="J40" t="str">
        <f>IFERROR(__xludf.DUMMYFUNCTION("REGEXEXTRACT(B40, ""\((.*)\)"")"),"4.3")</f>
        <v>4.3</v>
      </c>
      <c r="K40" t="str">
        <f>IFERROR(__xludf.DUMMYFUNCTION("REGEXEXTRACT(C40, ""\((.*)\)"")"),"2.15")</f>
        <v>2.15</v>
      </c>
    </row>
    <row r="41">
      <c r="A41" s="31" t="s">
        <v>199</v>
      </c>
      <c r="B41" s="31" t="s">
        <v>110</v>
      </c>
      <c r="C41" s="31" t="s">
        <v>200</v>
      </c>
      <c r="D41" s="32" t="s">
        <v>108</v>
      </c>
      <c r="F41" t="str">
        <f>IFERROR(__xludf.DUMMYFUNCTION("REGEXEXTRACT(A41,""(.*)\s\("")"),"Finland")</f>
        <v>Finland</v>
      </c>
      <c r="G41" t="str">
        <f>IFERROR(__xludf.DUMMYFUNCTION("REGEXEXTRACT(C41,""(.*)\s\("")"),"France")</f>
        <v>France</v>
      </c>
      <c r="I41" t="str">
        <f>IFERROR(__xludf.DUMMYFUNCTION("REGEXEXTRACT(A41, ""\((.*)\)"")"),"1.14")</f>
        <v>1.14</v>
      </c>
      <c r="J41" t="str">
        <f>IFERROR(__xludf.DUMMYFUNCTION("REGEXEXTRACT(B41, ""\((.*)\)"")"),"9")</f>
        <v>9</v>
      </c>
      <c r="K41" t="str">
        <f>IFERROR(__xludf.DUMMYFUNCTION("REGEXEXTRACT(C41, ""\((.*)\)"")"),"13")</f>
        <v>13</v>
      </c>
    </row>
    <row r="42">
      <c r="A42" s="31" t="s">
        <v>111</v>
      </c>
      <c r="B42" s="31" t="s">
        <v>201</v>
      </c>
      <c r="C42" s="31" t="s">
        <v>202</v>
      </c>
      <c r="D42" s="32" t="s">
        <v>108</v>
      </c>
      <c r="F42" t="str">
        <f>IFERROR(__xludf.DUMMYFUNCTION("REGEXEXTRACT(A42,""(.*)\s\("")"),"Sweden")</f>
        <v>Sweden</v>
      </c>
      <c r="G42" t="str">
        <f>IFERROR(__xludf.DUMMYFUNCTION("REGEXEXTRACT(C42,""(.*)\s\("")"),"Norway")</f>
        <v>Norway</v>
      </c>
      <c r="I42" t="str">
        <f>IFERROR(__xludf.DUMMYFUNCTION("REGEXEXTRACT(A42, ""\((.*)\)"")"),"1.2")</f>
        <v>1.2</v>
      </c>
      <c r="J42" t="str">
        <f>IFERROR(__xludf.DUMMYFUNCTION("REGEXEXTRACT(B42, ""\((.*)\)"")"),"8")</f>
        <v>8</v>
      </c>
      <c r="K42" t="str">
        <f>IFERROR(__xludf.DUMMYFUNCTION("REGEXEXTRACT(C42, ""\((.*)\)"")"),"8.5")</f>
        <v>8.5</v>
      </c>
    </row>
    <row r="43">
      <c r="A43" s="31" t="s">
        <v>203</v>
      </c>
      <c r="B43" s="31" t="s">
        <v>204</v>
      </c>
      <c r="C43" s="31" t="s">
        <v>205</v>
      </c>
      <c r="D43" s="32" t="s">
        <v>108</v>
      </c>
      <c r="F43" t="str">
        <f>IFERROR(__xludf.DUMMYFUNCTION("REGEXEXTRACT(A43,""(.*)\s\("")"),"Belarus")</f>
        <v>Belarus</v>
      </c>
      <c r="G43" t="str">
        <f>IFERROR(__xludf.DUMMYFUNCTION("REGEXEXTRACT(C43,""(.*)\s\("")"),"Hungary")</f>
        <v>Hungary</v>
      </c>
      <c r="I43" t="str">
        <f>IFERROR(__xludf.DUMMYFUNCTION("REGEXEXTRACT(A43, ""\((.*)\)"")"),"1.25")</f>
        <v>1.25</v>
      </c>
      <c r="J43" t="str">
        <f>IFERROR(__xludf.DUMMYFUNCTION("REGEXEXTRACT(B43, ""\((.*)\)"")"),"7.2")</f>
        <v>7.2</v>
      </c>
      <c r="K43" t="str">
        <f>IFERROR(__xludf.DUMMYFUNCTION("REGEXEXTRACT(C43, ""\((.*)\)"")"),"7")</f>
        <v>7</v>
      </c>
    </row>
    <row r="44">
      <c r="A44" s="31" t="s">
        <v>206</v>
      </c>
      <c r="B44" s="31" t="s">
        <v>183</v>
      </c>
      <c r="C44" s="31" t="s">
        <v>207</v>
      </c>
      <c r="D44" s="32" t="s">
        <v>108</v>
      </c>
      <c r="E44" s="28"/>
      <c r="F44" t="str">
        <f>IFERROR(__xludf.DUMMYFUNCTION("REGEXEXTRACT(A44,""(.*)\s\("")"),"Switzerland")</f>
        <v>Switzerland</v>
      </c>
      <c r="G44" t="str">
        <f>IFERROR(__xludf.DUMMYFUNCTION("REGEXEXTRACT(C44,""(.*)\s\("")"),"Russia")</f>
        <v>Russia</v>
      </c>
      <c r="I44" t="str">
        <f>IFERROR(__xludf.DUMMYFUNCTION("REGEXEXTRACT(A44, ""\((.*)\)"")"),"6.5")</f>
        <v>6.5</v>
      </c>
      <c r="J44" t="str">
        <f>IFERROR(__xludf.DUMMYFUNCTION("REGEXEXTRACT(B44, ""\((.*)\)"")"),"6.5")</f>
        <v>6.5</v>
      </c>
      <c r="K44" t="str">
        <f>IFERROR(__xludf.DUMMYFUNCTION("REGEXEXTRACT(C44, ""\((.*)\)"")"),"1.33")</f>
        <v>1.33</v>
      </c>
    </row>
    <row r="45">
      <c r="A45" s="31" t="s">
        <v>208</v>
      </c>
      <c r="B45" s="31" t="s">
        <v>209</v>
      </c>
      <c r="C45" s="31" t="s">
        <v>210</v>
      </c>
      <c r="D45" s="32" t="s">
        <v>108</v>
      </c>
      <c r="E45" s="28"/>
      <c r="F45" t="str">
        <f>IFERROR(__xludf.DUMMYFUNCTION("REGEXEXTRACT(A45,""(.*)\s\("")"),"Latvia")</f>
        <v>Latvia</v>
      </c>
      <c r="G45" t="str">
        <f>IFERROR(__xludf.DUMMYFUNCTION("REGEXEXTRACT(C45,""(.*)\s\("")"),"Kazakhstan")</f>
        <v>Kazakhstan</v>
      </c>
      <c r="I45" t="str">
        <f>IFERROR(__xludf.DUMMYFUNCTION("REGEXEXTRACT(A45, ""\((.*)\)"")"),"2.15")</f>
        <v>2.15</v>
      </c>
      <c r="J45" t="str">
        <f>IFERROR(__xludf.DUMMYFUNCTION("REGEXEXTRACT(B45, ""\((.*)\)"")"),"4.45")</f>
        <v>4.45</v>
      </c>
      <c r="K45" t="str">
        <f>IFERROR(__xludf.DUMMYFUNCTION("REGEXEXTRACT(C45, ""\((.*)\)"")"),"2.65")</f>
        <v>2.65</v>
      </c>
    </row>
    <row r="46">
      <c r="A46" s="31" t="s">
        <v>211</v>
      </c>
      <c r="B46" s="31" t="s">
        <v>183</v>
      </c>
      <c r="C46" s="31" t="s">
        <v>212</v>
      </c>
      <c r="D46" s="32" t="s">
        <v>108</v>
      </c>
      <c r="E46" s="28"/>
      <c r="F46" t="str">
        <f>IFERROR(__xludf.DUMMYFUNCTION("REGEXEXTRACT(A46,""(.*)\s\("")"),"Slovakia")</f>
        <v>Slovakia</v>
      </c>
      <c r="G46" t="str">
        <f>IFERROR(__xludf.DUMMYFUNCTION("REGEXEXTRACT(C46,""(.*)\s\("")"),"Canada")</f>
        <v>Canada</v>
      </c>
      <c r="I46" t="str">
        <f>IFERROR(__xludf.DUMMYFUNCTION("REGEXEXTRACT(A46, ""\((.*)\)"")"),"7")</f>
        <v>7</v>
      </c>
      <c r="J46" t="str">
        <f>IFERROR(__xludf.DUMMYFUNCTION("REGEXEXTRACT(B46, ""\((.*)\)"")"),"6.5")</f>
        <v>6.5</v>
      </c>
      <c r="K46" t="str">
        <f>IFERROR(__xludf.DUMMYFUNCTION("REGEXEXTRACT(C46, ""\((.*)\)"")"),"1.3")</f>
        <v>1.3</v>
      </c>
    </row>
    <row r="47">
      <c r="A47" s="31" t="s">
        <v>130</v>
      </c>
      <c r="B47" s="31" t="s">
        <v>213</v>
      </c>
      <c r="C47" s="31" t="s">
        <v>214</v>
      </c>
      <c r="D47" s="32" t="s">
        <v>108</v>
      </c>
      <c r="F47" t="str">
        <f>IFERROR(__xludf.DUMMYFUNCTION("REGEXEXTRACT(A47,""(.*)\s\("")"),"Czech Republic")</f>
        <v>Czech Republic</v>
      </c>
      <c r="G47" t="str">
        <f>IFERROR(__xludf.DUMMYFUNCTION("REGEXEXTRACT(C47,""(.*)\s\("")"),"Denmark")</f>
        <v>Denmark</v>
      </c>
      <c r="I47" t="str">
        <f>IFERROR(__xludf.DUMMYFUNCTION("REGEXEXTRACT(A47, ""\((.*)\)"")"),"1.25")</f>
        <v>1.25</v>
      </c>
      <c r="J47" t="str">
        <f>IFERROR(__xludf.DUMMYFUNCTION("REGEXEXTRACT(B47, ""\((.*)\)"")"),"8.25")</f>
        <v>8.25</v>
      </c>
      <c r="K47" t="str">
        <f>IFERROR(__xludf.DUMMYFUNCTION("REGEXEXTRACT(C47, ""\((.*)\)"")"),"7.75")</f>
        <v>7.75</v>
      </c>
    </row>
    <row r="48">
      <c r="A48" s="31" t="s">
        <v>215</v>
      </c>
      <c r="B48" s="31" t="s">
        <v>106</v>
      </c>
      <c r="C48" s="31" t="s">
        <v>216</v>
      </c>
      <c r="D48" s="32" t="s">
        <v>108</v>
      </c>
      <c r="F48" t="str">
        <f>IFERROR(__xludf.DUMMYFUNCTION("REGEXEXTRACT(A48,""(.*)\s\("")"),"USA")</f>
        <v>USA</v>
      </c>
      <c r="G48" t="str">
        <f>IFERROR(__xludf.DUMMYFUNCTION("REGEXEXTRACT(C48,""(.*)\s\("")"),"Germany")</f>
        <v>Germany</v>
      </c>
      <c r="I48" t="str">
        <f>IFERROR(__xludf.DUMMYFUNCTION("REGEXEXTRACT(A48, ""\((.*)\)"")"),"1.53")</f>
        <v>1.53</v>
      </c>
      <c r="J48" t="str">
        <f>IFERROR(__xludf.DUMMYFUNCTION("REGEXEXTRACT(B48, ""\((.*)\)"")"),"5.75")</f>
        <v>5.75</v>
      </c>
      <c r="K48" t="str">
        <f>IFERROR(__xludf.DUMMYFUNCTION("REGEXEXTRACT(C48, ""\((.*)\)"")"),"5.25")</f>
        <v>5.25</v>
      </c>
    </row>
    <row r="49">
      <c r="A49" s="31" t="s">
        <v>217</v>
      </c>
      <c r="B49" s="31" t="s">
        <v>218</v>
      </c>
      <c r="C49" s="31" t="s">
        <v>219</v>
      </c>
      <c r="D49" s="32" t="s">
        <v>108</v>
      </c>
      <c r="F49" t="str">
        <f>IFERROR(__xludf.DUMMYFUNCTION("REGEXEXTRACT(A49,""(.*)\s\("")"),"Finland")</f>
        <v>Finland</v>
      </c>
      <c r="G49" t="str">
        <f>IFERROR(__xludf.DUMMYFUNCTION("REGEXEXTRACT(C49,""(.*)\s\("")"),"Slovakia")</f>
        <v>Slovakia</v>
      </c>
      <c r="I49" t="str">
        <f>IFERROR(__xludf.DUMMYFUNCTION("REGEXEXTRACT(A49, ""\((.*)\)"")"),"1.45")</f>
        <v>1.45</v>
      </c>
      <c r="J49" t="str">
        <f>IFERROR(__xludf.DUMMYFUNCTION("REGEXEXTRACT(B49, ""\((.*)\)"")"),"5.5")</f>
        <v>5.5</v>
      </c>
      <c r="K49" t="str">
        <f>IFERROR(__xludf.DUMMYFUNCTION("REGEXEXTRACT(C49, ""\((.*)\)"")"),"5")</f>
        <v>5</v>
      </c>
    </row>
    <row r="50">
      <c r="A50" s="31" t="s">
        <v>220</v>
      </c>
      <c r="B50" s="31" t="s">
        <v>221</v>
      </c>
      <c r="C50" s="31" t="s">
        <v>222</v>
      </c>
      <c r="D50" s="32" t="s">
        <v>108</v>
      </c>
      <c r="E50" s="28"/>
      <c r="F50" t="str">
        <f>IFERROR(__xludf.DUMMYFUNCTION("REGEXEXTRACT(A50,""(.*)\s\("")"),"Sweden")</f>
        <v>Sweden</v>
      </c>
      <c r="G50" t="str">
        <f>IFERROR(__xludf.DUMMYFUNCTION("REGEXEXTRACT(C50,""(.*)\s\("")"),"Switzerland")</f>
        <v>Switzerland</v>
      </c>
      <c r="I50" t="str">
        <f>IFERROR(__xludf.DUMMYFUNCTION("REGEXEXTRACT(A50, ""\((.*)\)"")"),"1.45")</f>
        <v>1.45</v>
      </c>
      <c r="J50" t="str">
        <f>IFERROR(__xludf.DUMMYFUNCTION("REGEXEXTRACT(B50, ""\((.*)\)"")"),"5.85")</f>
        <v>5.85</v>
      </c>
      <c r="K50" t="str">
        <f>IFERROR(__xludf.DUMMYFUNCTION("REGEXEXTRACT(C50, ""\((.*)\)"")"),"5.65")</f>
        <v>5.65</v>
      </c>
    </row>
    <row r="51">
      <c r="A51" s="31" t="s">
        <v>223</v>
      </c>
      <c r="B51" s="31" t="s">
        <v>150</v>
      </c>
      <c r="C51" s="31" t="s">
        <v>224</v>
      </c>
      <c r="D51" s="32" t="s">
        <v>108</v>
      </c>
      <c r="F51" t="str">
        <f>IFERROR(__xludf.DUMMYFUNCTION("REGEXEXTRACT(A51,""(.*)\s\("")"),"France")</f>
        <v>France</v>
      </c>
      <c r="G51" t="str">
        <f>IFERROR(__xludf.DUMMYFUNCTION("REGEXEXTRACT(C51,""(.*)\s\("")"),"Canada")</f>
        <v>Canada</v>
      </c>
      <c r="I51" t="str">
        <f>IFERROR(__xludf.DUMMYFUNCTION("REGEXEXTRACT(A51, ""\((.*)\)"")"),"23")</f>
        <v>23</v>
      </c>
      <c r="J51" t="str">
        <f>IFERROR(__xludf.DUMMYFUNCTION("REGEXEXTRACT(B51, ""\((.*)\)"")"),"12")</f>
        <v>12</v>
      </c>
      <c r="K51" t="str">
        <f>IFERROR(__xludf.DUMMYFUNCTION("REGEXEXTRACT(C51, ""\((.*)\)"")"),"1.07")</f>
        <v>1.07</v>
      </c>
    </row>
    <row r="52">
      <c r="A52" s="31" t="s">
        <v>225</v>
      </c>
      <c r="B52" s="31" t="s">
        <v>110</v>
      </c>
      <c r="C52" s="31" t="s">
        <v>226</v>
      </c>
      <c r="D52" s="32" t="s">
        <v>108</v>
      </c>
      <c r="F52" t="str">
        <f>IFERROR(__xludf.DUMMYFUNCTION("REGEXEXTRACT(A52,""(.*)\s\("")"),"Norway")</f>
        <v>Norway</v>
      </c>
      <c r="G52" t="str">
        <f>IFERROR(__xludf.DUMMYFUNCTION("REGEXEXTRACT(C52,""(.*)\s\("")"),"Russia")</f>
        <v>Russia</v>
      </c>
      <c r="I52" t="str">
        <f>IFERROR(__xludf.DUMMYFUNCTION("REGEXEXTRACT(A52, ""\((.*)\)"")"),"11")</f>
        <v>11</v>
      </c>
      <c r="J52" t="str">
        <f>IFERROR(__xludf.DUMMYFUNCTION("REGEXEXTRACT(B52, ""\((.*)\)"")"),"9")</f>
        <v>9</v>
      </c>
      <c r="K52" t="str">
        <f>IFERROR(__xludf.DUMMYFUNCTION("REGEXEXTRACT(C52, ""\((.*)\)"")"),"1.14")</f>
        <v>1.14</v>
      </c>
    </row>
    <row r="53">
      <c r="A53" s="31" t="s">
        <v>205</v>
      </c>
      <c r="B53" s="31" t="s">
        <v>204</v>
      </c>
      <c r="C53" s="31" t="s">
        <v>227</v>
      </c>
      <c r="D53" s="32" t="s">
        <v>108</v>
      </c>
      <c r="E53" s="28"/>
      <c r="F53" t="str">
        <f>IFERROR(__xludf.DUMMYFUNCTION("REGEXEXTRACT(A53,""(.*)\s\("")"),"Hungary")</f>
        <v>Hungary</v>
      </c>
      <c r="G53" t="str">
        <f>IFERROR(__xludf.DUMMYFUNCTION("REGEXEXTRACT(C53,""(.*)\s\("")"),"Germany")</f>
        <v>Germany</v>
      </c>
      <c r="I53" t="str">
        <f>IFERROR(__xludf.DUMMYFUNCTION("REGEXEXTRACT(A53, ""\((.*)\)"")"),"7")</f>
        <v>7</v>
      </c>
      <c r="J53" t="str">
        <f>IFERROR(__xludf.DUMMYFUNCTION("REGEXEXTRACT(B53, ""\((.*)\)"")"),"7.2")</f>
        <v>7.2</v>
      </c>
      <c r="K53" t="str">
        <f>IFERROR(__xludf.DUMMYFUNCTION("REGEXEXTRACT(C53, ""\((.*)\)"")"),"1.25")</f>
        <v>1.25</v>
      </c>
    </row>
    <row r="54">
      <c r="A54" s="31" t="s">
        <v>228</v>
      </c>
      <c r="B54" s="31" t="s">
        <v>194</v>
      </c>
      <c r="C54" s="31" t="s">
        <v>229</v>
      </c>
      <c r="D54" s="32" t="s">
        <v>108</v>
      </c>
      <c r="E54" s="28"/>
      <c r="F54" t="str">
        <f>IFERROR(__xludf.DUMMYFUNCTION("REGEXEXTRACT(A54,""(.*)\s\("")"),"Kazakhstan")</f>
        <v>Kazakhstan</v>
      </c>
      <c r="G54" t="str">
        <f>IFERROR(__xludf.DUMMYFUNCTION("REGEXEXTRACT(C54,""(.*)\s\("")"),"Denmark")</f>
        <v>Denmark</v>
      </c>
      <c r="I54" t="str">
        <f>IFERROR(__xludf.DUMMYFUNCTION("REGEXEXTRACT(A54, ""\((.*)\)"")"),"2.75")</f>
        <v>2.75</v>
      </c>
      <c r="J54" t="str">
        <f>IFERROR(__xludf.DUMMYFUNCTION("REGEXEXTRACT(B54, ""\((.*)\)"")"),"4.4")</f>
        <v>4.4</v>
      </c>
      <c r="K54" t="str">
        <f>IFERROR(__xludf.DUMMYFUNCTION("REGEXEXTRACT(C54, ""\((.*)\)"")"),"2.05")</f>
        <v>2.05</v>
      </c>
    </row>
    <row r="55">
      <c r="A55" s="31" t="s">
        <v>230</v>
      </c>
      <c r="B55" s="31" t="s">
        <v>231</v>
      </c>
      <c r="C55" s="31" t="s">
        <v>232</v>
      </c>
      <c r="D55" s="32" t="s">
        <v>108</v>
      </c>
      <c r="F55" t="str">
        <f>IFERROR(__xludf.DUMMYFUNCTION("REGEXEXTRACT(A55,""(.*)\s\("")"),"Slovakia")</f>
        <v>Slovakia</v>
      </c>
      <c r="G55" t="str">
        <f>IFERROR(__xludf.DUMMYFUNCTION("REGEXEXTRACT(C55,""(.*)\s\("")"),"USA")</f>
        <v>USA</v>
      </c>
      <c r="I55" t="str">
        <f>IFERROR(__xludf.DUMMYFUNCTION("REGEXEXTRACT(A55, ""\((.*)\)"")"),"3.75")</f>
        <v>3.75</v>
      </c>
      <c r="J55" t="str">
        <f>IFERROR(__xludf.DUMMYFUNCTION("REGEXEXTRACT(B55, ""\((.*)\)"")"),"4.8")</f>
        <v>4.8</v>
      </c>
      <c r="K55" t="str">
        <f>IFERROR(__xludf.DUMMYFUNCTION("REGEXEXTRACT(C55, ""\((.*)\)"")"),"1.75")</f>
        <v>1.75</v>
      </c>
    </row>
    <row r="56">
      <c r="A56" s="31" t="s">
        <v>233</v>
      </c>
      <c r="B56" s="31" t="s">
        <v>218</v>
      </c>
      <c r="C56" s="31" t="s">
        <v>234</v>
      </c>
      <c r="D56" s="32" t="s">
        <v>108</v>
      </c>
      <c r="E56" s="28"/>
      <c r="F56" t="str">
        <f>IFERROR(__xludf.DUMMYFUNCTION("REGEXEXTRACT(A56,""(.*)\s\("")"),"Switzerland")</f>
        <v>Switzerland</v>
      </c>
      <c r="G56" t="str">
        <f>IFERROR(__xludf.DUMMYFUNCTION("REGEXEXTRACT(C56,""(.*)\s\("")"),"Czech Republic")</f>
        <v>Czech Republic</v>
      </c>
      <c r="I56" t="str">
        <f>IFERROR(__xludf.DUMMYFUNCTION("REGEXEXTRACT(A56, ""\((.*)\)"")"),"5")</f>
        <v>5</v>
      </c>
      <c r="J56" t="str">
        <f>IFERROR(__xludf.DUMMYFUNCTION("REGEXEXTRACT(B56, ""\((.*)\)"")"),"5.5")</f>
        <v>5.5</v>
      </c>
      <c r="K56" t="str">
        <f>IFERROR(__xludf.DUMMYFUNCTION("REGEXEXTRACT(C56, ""\((.*)\)"")"),"1.5")</f>
        <v>1.5</v>
      </c>
    </row>
    <row r="57">
      <c r="A57" s="31" t="s">
        <v>235</v>
      </c>
      <c r="B57" s="31" t="s">
        <v>125</v>
      </c>
      <c r="C57" s="31" t="s">
        <v>236</v>
      </c>
      <c r="D57" s="32" t="s">
        <v>108</v>
      </c>
      <c r="E57" s="28"/>
      <c r="F57" t="str">
        <f>IFERROR(__xludf.DUMMYFUNCTION("REGEXEXTRACT(A57,""(.*)\s\("")"),"France")</f>
        <v>France</v>
      </c>
      <c r="G57" t="str">
        <f>IFERROR(__xludf.DUMMYFUNCTION("REGEXEXTRACT(C57,""(.*)\s\("")"),"Belarus")</f>
        <v>Belarus</v>
      </c>
      <c r="I57" t="str">
        <f>IFERROR(__xludf.DUMMYFUNCTION("REGEXEXTRACT(A57, ""\((.*)\)"")"),"3.2")</f>
        <v>3.2</v>
      </c>
      <c r="J57" t="str">
        <f>IFERROR(__xludf.DUMMYFUNCTION("REGEXEXTRACT(B57, ""\((.*)\)"")"),"4.33")</f>
        <v>4.33</v>
      </c>
      <c r="K57" t="str">
        <f>IFERROR(__xludf.DUMMYFUNCTION("REGEXEXTRACT(C57, ""\((.*)\)"")"),"1.85")</f>
        <v>1.85</v>
      </c>
    </row>
    <row r="58">
      <c r="A58" s="31" t="s">
        <v>237</v>
      </c>
      <c r="B58" s="31" t="s">
        <v>197</v>
      </c>
      <c r="C58" s="31" t="s">
        <v>238</v>
      </c>
      <c r="D58" s="32" t="s">
        <v>108</v>
      </c>
      <c r="F58" t="str">
        <f>IFERROR(__xludf.DUMMYFUNCTION("REGEXEXTRACT(A58,""(.*)\s\("")"),"Norway")</f>
        <v>Norway</v>
      </c>
      <c r="G58" t="str">
        <f>IFERROR(__xludf.DUMMYFUNCTION("REGEXEXTRACT(C58,""(.*)\s\("")"),"Latvia")</f>
        <v>Latvia</v>
      </c>
      <c r="I58" t="str">
        <f>IFERROR(__xludf.DUMMYFUNCTION("REGEXEXTRACT(A58, ""\((.*)\)"")"),"2")</f>
        <v>2</v>
      </c>
      <c r="J58" t="str">
        <f>IFERROR(__xludf.DUMMYFUNCTION("REGEXEXTRACT(B58, ""\((.*)\)"")"),"4.3")</f>
        <v>4.3</v>
      </c>
      <c r="K58" t="str">
        <f>IFERROR(__xludf.DUMMYFUNCTION("REGEXEXTRACT(C58, ""\((.*)\)"")"),"2.9")</f>
        <v>2.9</v>
      </c>
    </row>
    <row r="59">
      <c r="A59" s="31" t="s">
        <v>239</v>
      </c>
      <c r="B59" s="31" t="s">
        <v>143</v>
      </c>
      <c r="C59" s="31" t="s">
        <v>240</v>
      </c>
      <c r="D59" s="32" t="s">
        <v>108</v>
      </c>
      <c r="F59" t="str">
        <f>IFERROR(__xludf.DUMMYFUNCTION("REGEXEXTRACT(A59,""(.*)\s\("")"),"Finland")</f>
        <v>Finland</v>
      </c>
      <c r="G59" t="str">
        <f>IFERROR(__xludf.DUMMYFUNCTION("REGEXEXTRACT(C59,""(.*)\s\("")"),"Canada")</f>
        <v>Canada</v>
      </c>
      <c r="I59" t="str">
        <f>IFERROR(__xludf.DUMMYFUNCTION("REGEXEXTRACT(A59, ""\((.*)\)"")"),"3.6")</f>
        <v>3.6</v>
      </c>
      <c r="J59" t="str">
        <f>IFERROR(__xludf.DUMMYFUNCTION("REGEXEXTRACT(B59, ""\((.*)\)"")"),"4.6")</f>
        <v>4.6</v>
      </c>
      <c r="K59" t="str">
        <f>IFERROR(__xludf.DUMMYFUNCTION("REGEXEXTRACT(C59, ""\((.*)\)"")"),"1.9")</f>
        <v>1.9</v>
      </c>
    </row>
    <row r="60">
      <c r="A60" s="31" t="s">
        <v>241</v>
      </c>
      <c r="B60" s="31" t="s">
        <v>194</v>
      </c>
      <c r="C60" s="31" t="s">
        <v>242</v>
      </c>
      <c r="F60" t="str">
        <f>IFERROR(__xludf.DUMMYFUNCTION("REGEXEXTRACT(A60,""(.*)\s\("")"),"Sweden")</f>
        <v>Sweden</v>
      </c>
      <c r="G60" t="str">
        <f>IFERROR(__xludf.DUMMYFUNCTION("REGEXEXTRACT(C60,""(.*)\s\("")"),"Russia")</f>
        <v>Russia</v>
      </c>
      <c r="I60" t="str">
        <f>IFERROR(__xludf.DUMMYFUNCTION("REGEXEXTRACT(A60, ""\((.*)\)"")"),"3.2")</f>
        <v>3.2</v>
      </c>
      <c r="J60" t="str">
        <f>IFERROR(__xludf.DUMMYFUNCTION("REGEXEXTRACT(B60, ""\((.*)\)"")"),"4.4")</f>
        <v>4.4</v>
      </c>
      <c r="K60" t="str">
        <f>IFERROR(__xludf.DUMMYFUNCTION("REGEXEXTRACT(C60, ""\((.*)\)"")"),"1.87")</f>
        <v>1.87</v>
      </c>
    </row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</hyperlinks>
  <drawing r:id="rId5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 t="s">
        <v>243</v>
      </c>
      <c r="C2" s="9" t="s">
        <v>243</v>
      </c>
    </row>
    <row r="3">
      <c r="A3" s="9" t="s">
        <v>18</v>
      </c>
      <c r="B3" s="9" t="s">
        <v>24</v>
      </c>
      <c r="C3" s="9" t="s">
        <v>17</v>
      </c>
      <c r="D3" s="9" t="s">
        <v>21</v>
      </c>
    </row>
    <row r="4">
      <c r="A4" s="9" t="s">
        <v>15</v>
      </c>
      <c r="B4" s="9" t="s">
        <v>32</v>
      </c>
      <c r="C4" s="9" t="s">
        <v>20</v>
      </c>
      <c r="D4" s="9" t="s">
        <v>42</v>
      </c>
    </row>
    <row r="5">
      <c r="A5" s="9" t="s">
        <v>244</v>
      </c>
      <c r="C5" s="9" t="s">
        <v>244</v>
      </c>
    </row>
    <row r="6">
      <c r="A6" s="9" t="s">
        <v>45</v>
      </c>
      <c r="B6" s="9" t="s">
        <v>46</v>
      </c>
      <c r="C6" s="9" t="s">
        <v>55</v>
      </c>
      <c r="D6" s="9" t="s">
        <v>56</v>
      </c>
    </row>
    <row r="7">
      <c r="A7" s="9" t="s">
        <v>24</v>
      </c>
      <c r="B7" s="9" t="s">
        <v>32</v>
      </c>
      <c r="C7" s="9" t="s">
        <v>16</v>
      </c>
      <c r="D7" s="9" t="s">
        <v>58</v>
      </c>
    </row>
    <row r="8">
      <c r="A8" s="9" t="s">
        <v>23</v>
      </c>
      <c r="B8" s="9" t="s">
        <v>52</v>
      </c>
      <c r="C8" s="9" t="s">
        <v>42</v>
      </c>
      <c r="D8" s="9" t="s">
        <v>17</v>
      </c>
    </row>
    <row r="9">
      <c r="A9" s="9" t="s">
        <v>245</v>
      </c>
      <c r="C9" s="9" t="s">
        <v>245</v>
      </c>
    </row>
    <row r="10">
      <c r="A10" s="9" t="s">
        <v>46</v>
      </c>
      <c r="B10" s="9" t="s">
        <v>18</v>
      </c>
      <c r="C10" s="9" t="s">
        <v>58</v>
      </c>
      <c r="D10" s="9" t="s">
        <v>21</v>
      </c>
    </row>
    <row r="11">
      <c r="A11" s="9" t="s">
        <v>15</v>
      </c>
      <c r="B11" s="9" t="s">
        <v>23</v>
      </c>
      <c r="C11" s="9" t="s">
        <v>20</v>
      </c>
      <c r="D11" s="9" t="s">
        <v>55</v>
      </c>
    </row>
    <row r="12">
      <c r="A12" s="9" t="s">
        <v>52</v>
      </c>
      <c r="B12" s="9" t="s">
        <v>45</v>
      </c>
      <c r="C12" s="9" t="s">
        <v>56</v>
      </c>
      <c r="D12" s="9" t="s">
        <v>16</v>
      </c>
    </row>
    <row r="13">
      <c r="A13" s="9" t="s">
        <v>246</v>
      </c>
      <c r="C13" s="9" t="s">
        <v>246</v>
      </c>
    </row>
    <row r="14">
      <c r="A14" s="9" t="s">
        <v>32</v>
      </c>
      <c r="B14" s="9" t="s">
        <v>18</v>
      </c>
      <c r="C14" s="9" t="s">
        <v>17</v>
      </c>
      <c r="D14" s="9" t="s">
        <v>20</v>
      </c>
    </row>
    <row r="15">
      <c r="A15" s="9" t="s">
        <v>15</v>
      </c>
      <c r="B15" s="9" t="s">
        <v>24</v>
      </c>
      <c r="C15" s="9" t="s">
        <v>21</v>
      </c>
      <c r="D15" s="9" t="s">
        <v>42</v>
      </c>
    </row>
    <row r="16">
      <c r="A16" s="9" t="s">
        <v>247</v>
      </c>
      <c r="C16" s="9" t="s">
        <v>247</v>
      </c>
    </row>
    <row r="17">
      <c r="A17" s="9" t="s">
        <v>46</v>
      </c>
      <c r="B17" s="9" t="s">
        <v>52</v>
      </c>
      <c r="C17" s="9" t="s">
        <v>58</v>
      </c>
      <c r="D17" s="9" t="s">
        <v>56</v>
      </c>
    </row>
    <row r="18">
      <c r="A18" s="9" t="s">
        <v>23</v>
      </c>
      <c r="B18" s="9" t="s">
        <v>45</v>
      </c>
      <c r="C18" s="9" t="s">
        <v>16</v>
      </c>
      <c r="D18" s="9" t="s">
        <v>55</v>
      </c>
    </row>
    <row r="19">
      <c r="A19" s="9" t="s">
        <v>248</v>
      </c>
      <c r="C19" s="9" t="s">
        <v>248</v>
      </c>
    </row>
    <row r="20">
      <c r="A20" s="9" t="s">
        <v>45</v>
      </c>
      <c r="B20" s="9" t="s">
        <v>32</v>
      </c>
      <c r="C20" s="9" t="s">
        <v>20</v>
      </c>
      <c r="D20" s="9" t="s">
        <v>58</v>
      </c>
    </row>
    <row r="21">
      <c r="A21" s="9" t="s">
        <v>15</v>
      </c>
      <c r="B21" s="9" t="s">
        <v>46</v>
      </c>
      <c r="C21" s="9" t="s">
        <v>16</v>
      </c>
      <c r="D21" s="9" t="s">
        <v>42</v>
      </c>
    </row>
    <row r="22">
      <c r="A22" s="9" t="s">
        <v>249</v>
      </c>
      <c r="C22" s="9" t="s">
        <v>249</v>
      </c>
    </row>
    <row r="23">
      <c r="A23" s="9" t="s">
        <v>52</v>
      </c>
      <c r="B23" s="9" t="s">
        <v>24</v>
      </c>
      <c r="C23" s="9" t="s">
        <v>17</v>
      </c>
      <c r="D23" s="9" t="s">
        <v>56</v>
      </c>
    </row>
    <row r="24">
      <c r="A24" s="9" t="s">
        <v>23</v>
      </c>
      <c r="B24" s="9" t="s">
        <v>18</v>
      </c>
      <c r="C24" s="9" t="s">
        <v>55</v>
      </c>
      <c r="D24" s="9" t="s">
        <v>21</v>
      </c>
    </row>
    <row r="25">
      <c r="A25" s="9" t="s">
        <v>250</v>
      </c>
      <c r="C25" s="9" t="s">
        <v>250</v>
      </c>
    </row>
    <row r="26">
      <c r="A26" s="9" t="s">
        <v>24</v>
      </c>
      <c r="B26" s="9" t="s">
        <v>46</v>
      </c>
      <c r="C26" s="9" t="s">
        <v>42</v>
      </c>
      <c r="D26" s="9" t="s">
        <v>55</v>
      </c>
    </row>
    <row r="27">
      <c r="A27" s="9" t="s">
        <v>32</v>
      </c>
      <c r="B27" s="9" t="s">
        <v>23</v>
      </c>
      <c r="C27" s="9" t="s">
        <v>17</v>
      </c>
      <c r="D27" s="9" t="s">
        <v>58</v>
      </c>
    </row>
    <row r="28">
      <c r="A28" s="9" t="s">
        <v>251</v>
      </c>
      <c r="C28" s="9" t="s">
        <v>251</v>
      </c>
    </row>
    <row r="29">
      <c r="A29" s="9" t="s">
        <v>52</v>
      </c>
      <c r="B29" s="9" t="s">
        <v>15</v>
      </c>
      <c r="C29" s="9" t="s">
        <v>56</v>
      </c>
      <c r="D29" s="9" t="s">
        <v>20</v>
      </c>
    </row>
    <row r="30">
      <c r="A30" s="9" t="s">
        <v>46</v>
      </c>
      <c r="B30" s="9" t="s">
        <v>32</v>
      </c>
      <c r="C30" s="9" t="s">
        <v>42</v>
      </c>
      <c r="D30" s="9" t="s">
        <v>58</v>
      </c>
    </row>
    <row r="31">
      <c r="A31" s="9" t="s">
        <v>18</v>
      </c>
      <c r="B31" s="9" t="s">
        <v>45</v>
      </c>
      <c r="C31" s="9" t="s">
        <v>21</v>
      </c>
      <c r="D31" s="9" t="s">
        <v>16</v>
      </c>
    </row>
    <row r="32">
      <c r="A32" s="9" t="s">
        <v>252</v>
      </c>
      <c r="C32" s="9" t="s">
        <v>252</v>
      </c>
    </row>
    <row r="33">
      <c r="A33" s="9" t="s">
        <v>24</v>
      </c>
      <c r="B33" s="9" t="s">
        <v>23</v>
      </c>
      <c r="C33" s="9" t="s">
        <v>55</v>
      </c>
      <c r="D33" s="9" t="s">
        <v>17</v>
      </c>
    </row>
    <row r="34">
      <c r="A34" s="9" t="s">
        <v>45</v>
      </c>
      <c r="B34" s="9" t="s">
        <v>15</v>
      </c>
      <c r="C34" s="9" t="s">
        <v>20</v>
      </c>
      <c r="D34" s="9" t="s">
        <v>16</v>
      </c>
    </row>
    <row r="35">
      <c r="A35" s="9" t="s">
        <v>253</v>
      </c>
      <c r="C35" s="9" t="s">
        <v>253</v>
      </c>
    </row>
    <row r="36">
      <c r="A36" s="9" t="s">
        <v>18</v>
      </c>
      <c r="B36" s="9" t="s">
        <v>52</v>
      </c>
      <c r="C36" s="9" t="s">
        <v>58</v>
      </c>
      <c r="D36" s="9" t="s">
        <v>55</v>
      </c>
    </row>
    <row r="37">
      <c r="A37" s="9" t="s">
        <v>23</v>
      </c>
      <c r="B37" s="9" t="s">
        <v>46</v>
      </c>
      <c r="C37" s="9" t="s">
        <v>21</v>
      </c>
      <c r="D37" s="9" t="s">
        <v>56</v>
      </c>
    </row>
    <row r="38">
      <c r="A38" s="9" t="s">
        <v>254</v>
      </c>
      <c r="C38" s="9" t="s">
        <v>254</v>
      </c>
    </row>
    <row r="39">
      <c r="A39" s="9" t="s">
        <v>45</v>
      </c>
      <c r="B39" s="9" t="s">
        <v>24</v>
      </c>
      <c r="C39" s="9" t="s">
        <v>16</v>
      </c>
      <c r="D39" s="9" t="s">
        <v>17</v>
      </c>
    </row>
    <row r="40">
      <c r="A40" s="9" t="s">
        <v>32</v>
      </c>
      <c r="B40" s="9" t="s">
        <v>52</v>
      </c>
      <c r="C40" s="9" t="s">
        <v>21</v>
      </c>
      <c r="D40" s="9" t="s">
        <v>20</v>
      </c>
    </row>
    <row r="41">
      <c r="A41" s="9" t="s">
        <v>18</v>
      </c>
      <c r="B41" s="9" t="s">
        <v>15</v>
      </c>
      <c r="C41" s="9" t="s">
        <v>56</v>
      </c>
      <c r="D41" s="9" t="s">
        <v>42</v>
      </c>
    </row>
  </sheetData>
  <drawing r:id="rId1"/>
</worksheet>
</file>